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657A6CF4-780A-29F0-665F-34B82A1D2417}"/>
  <workbookPr codeName="ThisWorkbook"/>
  <mc:AlternateContent xmlns:mc="http://schemas.openxmlformats.org/markup-compatibility/2006">
    <mc:Choice Requires="x15">
      <x15ac:absPath xmlns:x15ac="http://schemas.microsoft.com/office/spreadsheetml/2010/11/ac" url="D:\GitHub\SITH-YN\PythonTool\Temp\"/>
    </mc:Choice>
  </mc:AlternateContent>
  <xr:revisionPtr revIDLastSave="0" documentId="13_ncr:1_{98C16488-C5B0-4E7F-A8CE-FABA501992EE}" xr6:coauthVersionLast="47" xr6:coauthVersionMax="47" xr10:uidLastSave="{00000000-0000-0000-0000-000000000000}"/>
  <bookViews>
    <workbookView xWindow="-120" yWindow="-120" windowWidth="29040" windowHeight="15990" tabRatio="880" xr2:uid="{00000000-000D-0000-FFFF-FFFF00000000}"/>
  </bookViews>
  <sheets>
    <sheet name="業績評価ｼｰﾄ" sheetId="14" r:id="rId1"/>
    <sheet name="ｺﾝﾋﾟﾃﾝｼｰ評価ｼｰﾄ_管理職・役職者" sheetId="17" r:id="rId2"/>
    <sheet name="ｺﾝﾋﾟﾃﾝｼｰ評価ｼｰﾄ_一般職" sheetId="18" state="hidden" r:id="rId3"/>
    <sheet name="ｷｬﾘｱﾋﾞｼﾞｮﾝｼｰﾄ" sheetId="19" r:id="rId4"/>
    <sheet name="処遇コース・職場異動自己申告" sheetId="21" r:id="rId5"/>
    <sheet name="改訂履歴" sheetId="20" r:id="rId6"/>
    <sheet name="設定" sheetId="9" state="hidden" r:id="rId7"/>
  </sheets>
  <definedNames>
    <definedName name="_xlnm.Print_Area" localSheetId="5">改訂履歴!$A$1:$AP$28</definedName>
    <definedName name="_xlnm.Print_Area" localSheetId="4">処遇コース・職場異動自己申告!$A$1:$CE$47</definedName>
    <definedName name="ｸﾞﾚｰﾄﾞ">設定!$B$4:$B$35</definedName>
    <definedName name="区分">設定!$I$4:$I$6</definedName>
    <definedName name="職種">設定!$L$4:$L$12</definedName>
    <definedName name="評価対象判定">設定!$F$19:$F$22</definedName>
    <definedName name="役職">設定!$F$4:$F$15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K15" i="18" l="1"/>
  <c r="EK16" i="18"/>
  <c r="EK17" i="18"/>
  <c r="EK18" i="18"/>
  <c r="EK19" i="18"/>
  <c r="EK20" i="18"/>
  <c r="EK21" i="18"/>
  <c r="EK22" i="18"/>
  <c r="EK23" i="18"/>
  <c r="EK24" i="18"/>
  <c r="EK14" i="18"/>
  <c r="CW15" i="18"/>
  <c r="CW16" i="18"/>
  <c r="CW17" i="18"/>
  <c r="CW18" i="18"/>
  <c r="CW19" i="18"/>
  <c r="CW20" i="18"/>
  <c r="CW21" i="18"/>
  <c r="CW22" i="18"/>
  <c r="CW23" i="18"/>
  <c r="CW24" i="18"/>
  <c r="CW14" i="18"/>
  <c r="EK15" i="17"/>
  <c r="EK16" i="17"/>
  <c r="EK17" i="17"/>
  <c r="EK18" i="17"/>
  <c r="EK19" i="17"/>
  <c r="EK20" i="17"/>
  <c r="EK21" i="17"/>
  <c r="EK22" i="17"/>
  <c r="EK23" i="17"/>
  <c r="EK24" i="17"/>
  <c r="EK14" i="17"/>
  <c r="CW15" i="17"/>
  <c r="CW16" i="17"/>
  <c r="CW17" i="17"/>
  <c r="CW18" i="17"/>
  <c r="CW19" i="17"/>
  <c r="CW20" i="17"/>
  <c r="CW21" i="17"/>
  <c r="CW22" i="17"/>
  <c r="CW23" i="17"/>
  <c r="CW24" i="17"/>
  <c r="CW14" i="17"/>
  <c r="BQ7" i="21" l="1"/>
  <c r="AY7" i="21"/>
  <c r="BQ5" i="21"/>
  <c r="AY5" i="21"/>
  <c r="AY3" i="21"/>
  <c r="BC14" i="14" l="1"/>
  <c r="AJ88" i="14"/>
  <c r="BV88" i="14"/>
  <c r="BC21" i="14"/>
  <c r="BC28" i="14"/>
  <c r="BC35" i="14"/>
  <c r="BC42" i="14"/>
  <c r="BC49" i="14"/>
  <c r="BC77" i="14" l="1"/>
  <c r="BC70" i="14"/>
  <c r="BC63" i="14"/>
  <c r="BC56" i="14"/>
  <c r="DA14" i="17" l="1"/>
  <c r="DA15" i="17"/>
  <c r="DA16" i="17"/>
  <c r="DA17" i="17"/>
  <c r="DA18" i="17"/>
  <c r="DA19" i="17"/>
  <c r="DA20" i="17"/>
  <c r="DA21" i="17"/>
  <c r="DA22" i="17"/>
  <c r="DA23" i="17"/>
  <c r="DA24" i="17"/>
  <c r="CE6" i="18"/>
  <c r="BM6" i="18"/>
  <c r="CE4" i="18"/>
  <c r="BM4" i="18"/>
  <c r="BM2" i="18"/>
  <c r="CE6" i="17"/>
  <c r="BM6" i="17"/>
  <c r="CE4" i="17"/>
  <c r="BM4" i="17"/>
  <c r="BM14" i="17"/>
  <c r="CC14" i="17"/>
  <c r="CS14" i="17"/>
  <c r="CC15" i="17"/>
  <c r="CS15" i="17"/>
  <c r="CC16" i="17"/>
  <c r="CS16" i="17"/>
  <c r="CC17" i="17"/>
  <c r="CS17" i="17"/>
  <c r="CC18" i="17"/>
  <c r="CS18" i="17"/>
  <c r="CC19" i="17"/>
  <c r="CS19" i="17"/>
  <c r="BM2" i="17"/>
  <c r="EO24" i="18" l="1"/>
  <c r="EG24" i="18"/>
  <c r="DQ24" i="18"/>
  <c r="DA24" i="18"/>
  <c r="CS24" i="18"/>
  <c r="CC24" i="18"/>
  <c r="EO23" i="18"/>
  <c r="EG23" i="18"/>
  <c r="DQ23" i="18"/>
  <c r="DA23" i="18"/>
  <c r="CS23" i="18"/>
  <c r="CC23" i="18"/>
  <c r="EO22" i="18"/>
  <c r="EG22" i="18"/>
  <c r="DQ22" i="18"/>
  <c r="DA22" i="18"/>
  <c r="CS22" i="18"/>
  <c r="CC22" i="18"/>
  <c r="EO21" i="18"/>
  <c r="EG21" i="18"/>
  <c r="DQ21" i="18"/>
  <c r="DA21" i="18"/>
  <c r="CS21" i="18"/>
  <c r="CC21" i="18"/>
  <c r="EO20" i="18"/>
  <c r="EG20" i="18"/>
  <c r="DQ20" i="18"/>
  <c r="DA20" i="18"/>
  <c r="CS20" i="18"/>
  <c r="CC20" i="18"/>
  <c r="BM20" i="18"/>
  <c r="EO19" i="18"/>
  <c r="EG19" i="18"/>
  <c r="DQ19" i="18"/>
  <c r="DA19" i="18"/>
  <c r="CS19" i="18"/>
  <c r="CC19" i="18"/>
  <c r="EO18" i="18"/>
  <c r="EG18" i="18"/>
  <c r="DQ18" i="18"/>
  <c r="DA18" i="18"/>
  <c r="CS18" i="18"/>
  <c r="CC18" i="18"/>
  <c r="EO17" i="18"/>
  <c r="EG17" i="18"/>
  <c r="DQ17" i="18"/>
  <c r="DA17" i="18"/>
  <c r="CS17" i="18"/>
  <c r="CC17" i="18"/>
  <c r="EO16" i="18"/>
  <c r="EG16" i="18"/>
  <c r="DQ16" i="18"/>
  <c r="DA16" i="18"/>
  <c r="CS16" i="18"/>
  <c r="CC16" i="18"/>
  <c r="EO15" i="18"/>
  <c r="EG15" i="18"/>
  <c r="DQ15" i="18"/>
  <c r="DA15" i="18"/>
  <c r="CS15" i="18"/>
  <c r="CC15" i="18"/>
  <c r="EO14" i="18"/>
  <c r="EG14" i="18"/>
  <c r="DQ14" i="18"/>
  <c r="DA14" i="18"/>
  <c r="CS14" i="18"/>
  <c r="CC14" i="18"/>
  <c r="BM14" i="18"/>
  <c r="D1" i="18"/>
  <c r="EO18" i="17"/>
  <c r="EG18" i="17"/>
  <c r="DQ18" i="17"/>
  <c r="EG25" i="18" l="1"/>
  <c r="DQ32" i="18" s="1"/>
  <c r="CC25" i="18"/>
  <c r="EO25" i="18"/>
  <c r="DY32" i="18" s="1"/>
  <c r="BM25" i="18"/>
  <c r="DQ25" i="18"/>
  <c r="CS25" i="18"/>
  <c r="DQ29" i="18" s="1"/>
  <c r="DA25" i="18"/>
  <c r="DY29" i="18" s="1"/>
  <c r="D1" i="17" l="1"/>
  <c r="EG16" i="17"/>
  <c r="EO15" i="17"/>
  <c r="DQ24" i="17" l="1"/>
  <c r="EO24" i="17"/>
  <c r="CS24" i="17"/>
  <c r="EG24" i="17"/>
  <c r="CC24" i="17"/>
  <c r="DQ15" i="17"/>
  <c r="EO16" i="17"/>
  <c r="EG15" i="17"/>
  <c r="DQ16" i="17"/>
  <c r="DQ20" i="17" l="1"/>
  <c r="BM20" i="17"/>
  <c r="BM25" i="17" s="1"/>
  <c r="EO20" i="17"/>
  <c r="EG20" i="17"/>
  <c r="CC20" i="17"/>
  <c r="CS20" i="17"/>
  <c r="EO19" i="17"/>
  <c r="DQ19" i="17"/>
  <c r="EG19" i="17"/>
  <c r="EO14" i="17"/>
  <c r="EG14" i="17"/>
  <c r="DQ14" i="17"/>
  <c r="DQ17" i="17"/>
  <c r="EO17" i="17"/>
  <c r="EG17" i="17"/>
  <c r="EG23" i="17"/>
  <c r="CC23" i="17"/>
  <c r="DQ23" i="17"/>
  <c r="EO23" i="17"/>
  <c r="CS23" i="17"/>
  <c r="EO22" i="17"/>
  <c r="CS22" i="17"/>
  <c r="EG22" i="17"/>
  <c r="CC22" i="17"/>
  <c r="DQ22" i="17"/>
  <c r="EO21" i="17"/>
  <c r="CS21" i="17"/>
  <c r="EG21" i="17"/>
  <c r="DQ21" i="17"/>
  <c r="CC21" i="17"/>
  <c r="EG25" i="17" l="1"/>
  <c r="DQ32" i="17" s="1"/>
  <c r="CS25" i="17"/>
  <c r="DQ29" i="17" s="1"/>
  <c r="CC25" i="17"/>
  <c r="DA25" i="17"/>
  <c r="DY29" i="17" s="1"/>
  <c r="DQ25" i="17"/>
  <c r="EO25" i="17"/>
  <c r="DY32" i="17" s="1"/>
  <c r="EF77" i="14" l="1"/>
  <c r="EF70" i="14"/>
  <c r="EF63" i="14"/>
  <c r="EF56" i="14"/>
  <c r="EF49" i="14"/>
  <c r="EF42" i="14"/>
  <c r="EF35" i="14"/>
  <c r="EF28" i="14"/>
  <c r="EF21" i="14"/>
  <c r="CQ14" i="14"/>
  <c r="EF14" i="14" l="1"/>
  <c r="EF84" i="14" s="1"/>
  <c r="CQ77" i="14"/>
  <c r="CQ70" i="14"/>
  <c r="CQ63" i="14"/>
  <c r="CQ56" i="14"/>
  <c r="CQ49" i="14"/>
  <c r="CQ42" i="14"/>
  <c r="CQ35" i="14"/>
  <c r="CQ28" i="14"/>
  <c r="CQ21" i="14"/>
  <c r="BV96" i="14" l="1"/>
  <c r="AJ96" i="14"/>
  <c r="CO97" i="14" s="1"/>
  <c r="CU84" i="14"/>
  <c r="BF84" i="14"/>
  <c r="CO101" i="14" l="1"/>
  <c r="CH101" i="14"/>
  <c r="C2" i="9"/>
  <c r="C1" i="9"/>
  <c r="CQ84" i="14"/>
  <c r="CH97" i="14" s="1"/>
  <c r="CV97" i="14" s="1"/>
  <c r="CV10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saitot</author>
  </authors>
  <commentList>
    <comment ref="C12" authorId="0" shapeId="0" xr:uid="{00000000-0006-0000-0000-000001000000}">
      <text>
        <r>
          <rPr>
            <b/>
            <sz val="9"/>
            <color indexed="81"/>
            <rFont val="MS P ゴシック"/>
            <family val="3"/>
            <charset val="128"/>
          </rPr>
          <t>原則 上位目標・方針に基づき転記ください</t>
        </r>
      </text>
    </comment>
    <comment ref="P12" authorId="0" shapeId="0" xr:uid="{00000000-0006-0000-0000-000002000000}">
      <text>
        <r>
          <rPr>
            <b/>
            <sz val="9"/>
            <color indexed="81"/>
            <rFont val="MS P ゴシック"/>
            <family val="3"/>
            <charset val="128"/>
          </rPr>
          <t>・原則 目標値は定量化してください
・「TOEIC●●点」は、目標としないでください</t>
        </r>
      </text>
    </comment>
    <comment ref="BI13" authorId="0" shapeId="0" xr:uid="{00000000-0006-0000-0000-000003000000}">
      <text>
        <r>
          <rPr>
            <b/>
            <sz val="9"/>
            <color indexed="81"/>
            <rFont val="MS P ゴシック"/>
            <family val="3"/>
            <charset val="128"/>
          </rPr>
          <t>達成基準が無い（=定まっていない）場合、その点数は入力できません。</t>
        </r>
      </text>
    </comment>
    <comment ref="CX13" authorId="0" shapeId="0" xr:uid="{00000000-0006-0000-0000-000004000000}">
      <text>
        <r>
          <rPr>
            <b/>
            <sz val="9"/>
            <color indexed="81"/>
            <rFont val="MS P ゴシック"/>
            <family val="3"/>
            <charset val="128"/>
          </rPr>
          <t>達成基準が無い（=定まっていない）場合、その点数は入力できません。</t>
        </r>
      </text>
    </comment>
  </commentList>
</comments>
</file>

<file path=xl/sharedStrings.xml><?xml version="1.0" encoding="utf-8"?>
<sst xmlns="http://schemas.openxmlformats.org/spreadsheetml/2006/main" count="779" uniqueCount="431">
  <si>
    <t>第</t>
    <rPh sb="0" eb="1">
      <t>ダイ</t>
    </rPh>
    <phoneticPr fontId="2"/>
  </si>
  <si>
    <t>期</t>
    <rPh sb="0" eb="1">
      <t>キ</t>
    </rPh>
    <phoneticPr fontId="2"/>
  </si>
  <si>
    <t>【目標設定・業績評価シート】</t>
    <rPh sb="1" eb="3">
      <t>モクヒョウ</t>
    </rPh>
    <rPh sb="3" eb="5">
      <t>セッテイ</t>
    </rPh>
    <rPh sb="6" eb="8">
      <t>ギョウセキ</t>
    </rPh>
    <rPh sb="8" eb="10">
      <t>ヒョウカ</t>
    </rPh>
    <phoneticPr fontId="2"/>
  </si>
  <si>
    <t>実施時期</t>
    <rPh sb="0" eb="2">
      <t>ジッシ</t>
    </rPh>
    <rPh sb="2" eb="4">
      <t>ジキ</t>
    </rPh>
    <phoneticPr fontId="2"/>
  </si>
  <si>
    <t>2次評価者</t>
    <rPh sb="1" eb="2">
      <t>ジ</t>
    </rPh>
    <rPh sb="2" eb="4">
      <t>ヒョウカ</t>
    </rPh>
    <rPh sb="4" eb="5">
      <t>シャ</t>
    </rPh>
    <phoneticPr fontId="2"/>
  </si>
  <si>
    <t>1次評価者</t>
    <rPh sb="1" eb="2">
      <t>ジ</t>
    </rPh>
    <rPh sb="2" eb="4">
      <t>ヒョウカ</t>
    </rPh>
    <rPh sb="4" eb="5">
      <t>シャ</t>
    </rPh>
    <phoneticPr fontId="2"/>
  </si>
  <si>
    <t>作成/自己評価</t>
    <rPh sb="0" eb="2">
      <t>サクセイ</t>
    </rPh>
    <rPh sb="3" eb="5">
      <t>ジコ</t>
    </rPh>
    <rPh sb="5" eb="7">
      <t>ヒョウカ</t>
    </rPh>
    <phoneticPr fontId="2"/>
  </si>
  <si>
    <t>※当シートの問合せ先：人事部門</t>
    <rPh sb="1" eb="2">
      <t>トウ</t>
    </rPh>
    <rPh sb="6" eb="8">
      <t>トイアワ</t>
    </rPh>
    <rPh sb="9" eb="10">
      <t>サキ</t>
    </rPh>
    <rPh sb="11" eb="13">
      <t>ジンジ</t>
    </rPh>
    <rPh sb="13" eb="14">
      <t>ブ</t>
    </rPh>
    <rPh sb="14" eb="15">
      <t>モン</t>
    </rPh>
    <phoneticPr fontId="10"/>
  </si>
  <si>
    <t>上位目標・方針</t>
    <rPh sb="0" eb="2">
      <t>ジョウイ</t>
    </rPh>
    <rPh sb="2" eb="4">
      <t>モクヒョウ</t>
    </rPh>
    <rPh sb="5" eb="7">
      <t>ホウシン</t>
    </rPh>
    <phoneticPr fontId="2"/>
  </si>
  <si>
    <t>所　　属</t>
  </si>
  <si>
    <t>目標設定</t>
    <rPh sb="0" eb="2">
      <t>モクヒョウ</t>
    </rPh>
    <rPh sb="2" eb="4">
      <t>セッテイ</t>
    </rPh>
    <phoneticPr fontId="2"/>
  </si>
  <si>
    <t xml:space="preserve">
    /  /  </t>
    <phoneticPr fontId="2"/>
  </si>
  <si>
    <t>氏　　名</t>
  </si>
  <si>
    <t>社員番号</t>
    <rPh sb="0" eb="2">
      <t>シャイン</t>
    </rPh>
    <rPh sb="2" eb="4">
      <t>バンゴウ</t>
    </rPh>
    <phoneticPr fontId="2"/>
  </si>
  <si>
    <t>上半期</t>
    <rPh sb="0" eb="3">
      <t>カミハンキ</t>
    </rPh>
    <phoneticPr fontId="2"/>
  </si>
  <si>
    <t>評価</t>
    <rPh sb="0" eb="2">
      <t>ヒョウカ</t>
    </rPh>
    <phoneticPr fontId="2"/>
  </si>
  <si>
    <t>グレード</t>
  </si>
  <si>
    <t>役　職</t>
  </si>
  <si>
    <t>面談</t>
    <rPh sb="0" eb="2">
      <t>メンダン</t>
    </rPh>
    <phoneticPr fontId="2"/>
  </si>
  <si>
    <t xml:space="preserve">
    /  /</t>
    <phoneticPr fontId="2"/>
  </si>
  <si>
    <t>※再雇用社員は、グレード：再雇用、役職：一般職として下さい。
※契約社員は、グレード：契約、役職：一般職として下さい。</t>
    <rPh sb="1" eb="4">
      <t>サイコヨウ</t>
    </rPh>
    <rPh sb="4" eb="6">
      <t>シャイン</t>
    </rPh>
    <rPh sb="13" eb="16">
      <t>サイコヨウ</t>
    </rPh>
    <rPh sb="17" eb="19">
      <t>ヤクショク</t>
    </rPh>
    <rPh sb="20" eb="22">
      <t>イッパン</t>
    </rPh>
    <rPh sb="22" eb="23">
      <t>ショク</t>
    </rPh>
    <rPh sb="26" eb="27">
      <t>クダ</t>
    </rPh>
    <rPh sb="32" eb="34">
      <t>ケイヤク</t>
    </rPh>
    <rPh sb="34" eb="36">
      <t>シャイン</t>
    </rPh>
    <rPh sb="43" eb="45">
      <t>ケイヤク</t>
    </rPh>
    <rPh sb="51" eb="52">
      <t>ショク</t>
    </rPh>
    <phoneticPr fontId="2"/>
  </si>
  <si>
    <t>下半期</t>
    <rPh sb="0" eb="3">
      <t>シモハンキ</t>
    </rPh>
    <phoneticPr fontId="2"/>
  </si>
  <si>
    <t xml:space="preserve">
   /  /</t>
    <phoneticPr fontId="2"/>
  </si>
  <si>
    <t>【評価シート記入時の注意事項】</t>
    <rPh sb="1" eb="3">
      <t>ヒョウカ</t>
    </rPh>
    <rPh sb="6" eb="8">
      <t>キニュウ</t>
    </rPh>
    <rPh sb="8" eb="9">
      <t>ジ</t>
    </rPh>
    <rPh sb="10" eb="12">
      <t>チュウイ</t>
    </rPh>
    <rPh sb="12" eb="14">
      <t>ジコウ</t>
    </rPh>
    <phoneticPr fontId="2"/>
  </si>
  <si>
    <t xml:space="preserve">
   /  /</t>
  </si>
  <si>
    <t xml:space="preserve">１．テーマ項目・目標は最大10個まで、それ以上の追加はできません。
２．行の挿入・削除はしないでください。
</t>
    <rPh sb="5" eb="7">
      <t>コウモク</t>
    </rPh>
    <rPh sb="8" eb="10">
      <t>モクヒョウ</t>
    </rPh>
    <rPh sb="11" eb="13">
      <t>サイダイ</t>
    </rPh>
    <rPh sb="15" eb="16">
      <t>コ</t>
    </rPh>
    <rPh sb="21" eb="23">
      <t>イジョウ</t>
    </rPh>
    <rPh sb="24" eb="26">
      <t>ツイカ</t>
    </rPh>
    <rPh sb="36" eb="37">
      <t>ギョウ</t>
    </rPh>
    <rPh sb="38" eb="40">
      <t>ソウニュウ</t>
    </rPh>
    <rPh sb="41" eb="43">
      <t>サクジョ</t>
    </rPh>
    <phoneticPr fontId="2"/>
  </si>
  <si>
    <t>↑↑↑↑↑
実施後はデータ印押印
または氏名・日付入力</t>
    <rPh sb="6" eb="8">
      <t>ジッシ</t>
    </rPh>
    <rPh sb="8" eb="9">
      <t>ゴ</t>
    </rPh>
    <rPh sb="13" eb="14">
      <t>イン</t>
    </rPh>
    <rPh sb="14" eb="16">
      <t>オウイン</t>
    </rPh>
    <rPh sb="20" eb="22">
      <t>シメイ</t>
    </rPh>
    <rPh sb="23" eb="25">
      <t>ヒヅケ</t>
    </rPh>
    <rPh sb="25" eb="27">
      <t>ニュウリョク</t>
    </rPh>
    <phoneticPr fontId="2"/>
  </si>
  <si>
    <t>テーマ項目</t>
    <rPh sb="3" eb="5">
      <t>コウモク</t>
    </rPh>
    <phoneticPr fontId="2"/>
  </si>
  <si>
    <t>達　成　目　標      　　　　　　　　　　　　　</t>
    <rPh sb="0" eb="1">
      <t>トオル</t>
    </rPh>
    <rPh sb="2" eb="3">
      <t>シゲル</t>
    </rPh>
    <rPh sb="4" eb="5">
      <t>メ</t>
    </rPh>
    <rPh sb="6" eb="7">
      <t>ヒョウ</t>
    </rPh>
    <phoneticPr fontId="2"/>
  </si>
  <si>
    <t>実施方法／内容</t>
    <rPh sb="0" eb="4">
      <t>ジッシホウホウ</t>
    </rPh>
    <rPh sb="5" eb="7">
      <t>ナイヨウ</t>
    </rPh>
    <phoneticPr fontId="2"/>
  </si>
  <si>
    <t>ﾁｬﾚﾝｼﾞ度</t>
    <rPh sb="6" eb="7">
      <t>ド</t>
    </rPh>
    <phoneticPr fontId="2"/>
  </si>
  <si>
    <t>ﾁｬﾚﾝｼﾞ係数</t>
    <rPh sb="6" eb="8">
      <t>ケイスウ</t>
    </rPh>
    <phoneticPr fontId="2"/>
  </si>
  <si>
    <t>上期　ｳｴｲﾄ</t>
    <rPh sb="0" eb="1">
      <t>カミ</t>
    </rPh>
    <rPh sb="1" eb="2">
      <t>キ</t>
    </rPh>
    <phoneticPr fontId="2"/>
  </si>
  <si>
    <t>上期自己評価</t>
    <rPh sb="0" eb="2">
      <t>カミキ</t>
    </rPh>
    <rPh sb="2" eb="4">
      <t>ジコ</t>
    </rPh>
    <rPh sb="4" eb="6">
      <t>ヒョウカ</t>
    </rPh>
    <phoneticPr fontId="2"/>
  </si>
  <si>
    <t>上期１次評価</t>
    <rPh sb="0" eb="2">
      <t>カミキ</t>
    </rPh>
    <rPh sb="3" eb="4">
      <t>ジ</t>
    </rPh>
    <rPh sb="4" eb="6">
      <t>ヒョウカ</t>
    </rPh>
    <phoneticPr fontId="2"/>
  </si>
  <si>
    <t>上期</t>
    <rPh sb="0" eb="2">
      <t>カミキ</t>
    </rPh>
    <phoneticPr fontId="2"/>
  </si>
  <si>
    <t>下期　ｳｴｲﾄ</t>
    <rPh sb="0" eb="1">
      <t>シモ</t>
    </rPh>
    <rPh sb="1" eb="2">
      <t>キ</t>
    </rPh>
    <phoneticPr fontId="2"/>
  </si>
  <si>
    <t>下期自己評価</t>
    <rPh sb="0" eb="1">
      <t>シタ</t>
    </rPh>
    <rPh sb="1" eb="2">
      <t>キ</t>
    </rPh>
    <rPh sb="2" eb="4">
      <t>ジコ</t>
    </rPh>
    <rPh sb="4" eb="6">
      <t>ヒョウカ</t>
    </rPh>
    <phoneticPr fontId="2"/>
  </si>
  <si>
    <t>下期１次評価</t>
    <rPh sb="0" eb="1">
      <t>シタ</t>
    </rPh>
    <rPh sb="1" eb="2">
      <t>キ</t>
    </rPh>
    <rPh sb="3" eb="4">
      <t>ジ</t>
    </rPh>
    <rPh sb="4" eb="6">
      <t>ヒョウカ</t>
    </rPh>
    <phoneticPr fontId="2"/>
  </si>
  <si>
    <t>下期</t>
    <rPh sb="0" eb="2">
      <t>シモキ</t>
    </rPh>
    <phoneticPr fontId="2"/>
  </si>
  <si>
    <t>達成基準（評点決定根拠）</t>
    <rPh sb="0" eb="2">
      <t>タッセイ</t>
    </rPh>
    <rPh sb="2" eb="4">
      <t>キジュン</t>
    </rPh>
    <rPh sb="5" eb="7">
      <t>ヒョウテン</t>
    </rPh>
    <rPh sb="7" eb="9">
      <t>ケッテイ</t>
    </rPh>
    <rPh sb="9" eb="11">
      <t>コンキョ</t>
    </rPh>
    <phoneticPr fontId="2"/>
  </si>
  <si>
    <t>自己主張</t>
    <rPh sb="0" eb="2">
      <t>ジコ</t>
    </rPh>
    <rPh sb="2" eb="4">
      <t>シュチョウ</t>
    </rPh>
    <phoneticPr fontId="2"/>
  </si>
  <si>
    <t>評点</t>
    <rPh sb="0" eb="2">
      <t>ヒョウテン</t>
    </rPh>
    <phoneticPr fontId="2"/>
  </si>
  <si>
    <t>評価理由</t>
    <rPh sb="0" eb="2">
      <t>ヒョウカ</t>
    </rPh>
    <rPh sb="2" eb="3">
      <t>リ</t>
    </rPh>
    <rPh sb="3" eb="4">
      <t>ヨシ</t>
    </rPh>
    <phoneticPr fontId="2"/>
  </si>
  <si>
    <t>評価点</t>
    <rPh sb="0" eb="2">
      <t>ヒョウカ</t>
    </rPh>
    <rPh sb="2" eb="3">
      <t>テン</t>
    </rPh>
    <phoneticPr fontId="2"/>
  </si>
  <si>
    <t xml:space="preserve"> 5：</t>
    <phoneticPr fontId="2"/>
  </si>
  <si>
    <t xml:space="preserve"> 3：</t>
    <phoneticPr fontId="2"/>
  </si>
  <si>
    <t xml:space="preserve"> 1：</t>
    <phoneticPr fontId="2"/>
  </si>
  <si>
    <t>　　</t>
    <phoneticPr fontId="2"/>
  </si>
  <si>
    <t>※評価点計＝Σ（ウエイト×評価点）÷5 ⇒ （Ｂ）</t>
    <phoneticPr fontId="2"/>
  </si>
  <si>
    <t>※評価点計＝Σ（ウエイト×評価点）÷5 ⇒ （C）</t>
    <phoneticPr fontId="2"/>
  </si>
  <si>
    <t>※加減点の上限は±10点（評価者が入力する）</t>
    <rPh sb="1" eb="3">
      <t>カゲン</t>
    </rPh>
    <rPh sb="3" eb="4">
      <t>テン</t>
    </rPh>
    <rPh sb="5" eb="7">
      <t>ジョウゲン</t>
    </rPh>
    <rPh sb="11" eb="12">
      <t>テン</t>
    </rPh>
    <rPh sb="13" eb="15">
      <t>ヒョウカ</t>
    </rPh>
    <rPh sb="15" eb="16">
      <t>シャ</t>
    </rPh>
    <rPh sb="17" eb="19">
      <t>ニュウリョク</t>
    </rPh>
    <phoneticPr fontId="2"/>
  </si>
  <si>
    <t>小数点は切り捨て</t>
    <rPh sb="0" eb="3">
      <t>ショウスウテン</t>
    </rPh>
    <rPh sb="4" eb="5">
      <t>キ</t>
    </rPh>
    <rPh sb="6" eb="7">
      <t>ス</t>
    </rPh>
    <phoneticPr fontId="2"/>
  </si>
  <si>
    <t>評　価　項　目</t>
    <rPh sb="0" eb="1">
      <t>ヒョウ</t>
    </rPh>
    <rPh sb="2" eb="3">
      <t>アタイ</t>
    </rPh>
    <rPh sb="4" eb="5">
      <t>コウ</t>
    </rPh>
    <rPh sb="6" eb="7">
      <t>メ</t>
    </rPh>
    <phoneticPr fontId="2"/>
  </si>
  <si>
    <t>上期上司(1・2次)評価</t>
    <rPh sb="0" eb="2">
      <t>カミキ</t>
    </rPh>
    <rPh sb="2" eb="4">
      <t>ジョウシ</t>
    </rPh>
    <rPh sb="8" eb="9">
      <t>ジ</t>
    </rPh>
    <rPh sb="10" eb="12">
      <t>ヒョウカ</t>
    </rPh>
    <phoneticPr fontId="2"/>
  </si>
  <si>
    <t>下期上司(1・2次)評価</t>
    <rPh sb="0" eb="1">
      <t>シタ</t>
    </rPh>
    <rPh sb="1" eb="2">
      <t>キ</t>
    </rPh>
    <rPh sb="2" eb="4">
      <t>ジョウシ</t>
    </rPh>
    <rPh sb="8" eb="9">
      <t>ジ</t>
    </rPh>
    <rPh sb="10" eb="12">
      <t>ヒョウカ</t>
    </rPh>
    <phoneticPr fontId="2"/>
  </si>
  <si>
    <t>〔業績評価・評点決定基準〕</t>
    <rPh sb="1" eb="3">
      <t>ギョウセキ</t>
    </rPh>
    <rPh sb="3" eb="5">
      <t>ヒョウカ</t>
    </rPh>
    <rPh sb="6" eb="8">
      <t>ヒョウテン</t>
    </rPh>
    <rPh sb="8" eb="10">
      <t>ケッテイ</t>
    </rPh>
    <rPh sb="10" eb="12">
      <t>キジュン</t>
    </rPh>
    <phoneticPr fontId="2"/>
  </si>
  <si>
    <t>〔チャレンジ度〕</t>
    <rPh sb="6" eb="7">
      <t>ド</t>
    </rPh>
    <phoneticPr fontId="2"/>
  </si>
  <si>
    <t>業績内容</t>
    <rPh sb="0" eb="2">
      <t>ギョウセキ</t>
    </rPh>
    <rPh sb="2" eb="4">
      <t>ナイヨウ</t>
    </rPh>
    <phoneticPr fontId="2"/>
  </si>
  <si>
    <t>コメント</t>
    <phoneticPr fontId="2"/>
  </si>
  <si>
    <t>定量的評価基準</t>
    <rPh sb="0" eb="2">
      <t>テイリョウ</t>
    </rPh>
    <rPh sb="2" eb="3">
      <t>テキ</t>
    </rPh>
    <rPh sb="3" eb="5">
      <t>ヒョウカ</t>
    </rPh>
    <rPh sb="5" eb="7">
      <t>キジュン</t>
    </rPh>
    <phoneticPr fontId="2"/>
  </si>
  <si>
    <t>定性的評価基準</t>
    <rPh sb="0" eb="3">
      <t>テイセイテキ</t>
    </rPh>
    <rPh sb="3" eb="5">
      <t>ヒョウカ</t>
    </rPh>
    <rPh sb="5" eb="7">
      <t>キジュン</t>
    </rPh>
    <phoneticPr fontId="2"/>
  </si>
  <si>
    <t>指標</t>
    <rPh sb="0" eb="1">
      <t>シヒョウ</t>
    </rPh>
    <phoneticPr fontId="2"/>
  </si>
  <si>
    <t>基　準</t>
    <rPh sb="1" eb="2">
      <t>ジュン</t>
    </rPh>
    <phoneticPr fontId="2"/>
  </si>
  <si>
    <t>係数</t>
    <rPh sb="0" eb="2">
      <t>ケイスウ</t>
    </rPh>
    <phoneticPr fontId="2"/>
  </si>
  <si>
    <t>掲げた目標以外に特に評価してほしい自己申告事項、または上記で評価しきれない極めて特別な上司評価事項</t>
    <phoneticPr fontId="2"/>
  </si>
  <si>
    <t>120%以上の達成度</t>
    <rPh sb="4" eb="6">
      <t>イジョウ</t>
    </rPh>
    <rPh sb="7" eb="9">
      <t>タッセイ</t>
    </rPh>
    <rPh sb="9" eb="10">
      <t>ド</t>
    </rPh>
    <phoneticPr fontId="2"/>
  </si>
  <si>
    <t>期待を大きく上回った</t>
    <rPh sb="0" eb="2">
      <t>キタイ</t>
    </rPh>
    <rPh sb="3" eb="4">
      <t>オオ</t>
    </rPh>
    <rPh sb="6" eb="8">
      <t>ウワマワ</t>
    </rPh>
    <phoneticPr fontId="2"/>
  </si>
  <si>
    <t>A</t>
    <phoneticPr fontId="2"/>
  </si>
  <si>
    <t>そのグレード・役職にあるものには、相当な知識・技術と努力が必要と思われる目標で、組織貢献度が極めて高い目標</t>
    <phoneticPr fontId="2"/>
  </si>
  <si>
    <t>加</t>
    <rPh sb="0" eb="1">
      <t>カ</t>
    </rPh>
    <phoneticPr fontId="2"/>
  </si>
  <si>
    <t>110～119%の達成度</t>
    <rPh sb="9" eb="11">
      <t>タッセイ</t>
    </rPh>
    <rPh sb="11" eb="12">
      <t>ド</t>
    </rPh>
    <phoneticPr fontId="2"/>
  </si>
  <si>
    <t>期待を上回った</t>
    <rPh sb="0" eb="2">
      <t>キタイ</t>
    </rPh>
    <rPh sb="3" eb="5">
      <t>ウワマワ</t>
    </rPh>
    <phoneticPr fontId="2"/>
  </si>
  <si>
    <t>減</t>
    <rPh sb="0" eb="1">
      <t>ゲン</t>
    </rPh>
    <phoneticPr fontId="2"/>
  </si>
  <si>
    <t>100～109%の達成度</t>
    <rPh sb="9" eb="11">
      <t>タッセイ</t>
    </rPh>
    <rPh sb="11" eb="12">
      <t>ド</t>
    </rPh>
    <phoneticPr fontId="2"/>
  </si>
  <si>
    <t>ほぼ期待通りだった</t>
    <rPh sb="2" eb="4">
      <t>キタイ</t>
    </rPh>
    <rPh sb="4" eb="5">
      <t>トオ</t>
    </rPh>
    <phoneticPr fontId="2"/>
  </si>
  <si>
    <t>B</t>
    <phoneticPr fontId="2"/>
  </si>
  <si>
    <t>そのグレード・役職において、標準レベルより少し難易度の高い目標で、組織貢献度が高い目標</t>
    <phoneticPr fontId="2"/>
  </si>
  <si>
    <t>点</t>
    <rPh sb="0" eb="1">
      <t>テン</t>
    </rPh>
    <phoneticPr fontId="2"/>
  </si>
  <si>
    <t>80～99の達成度</t>
    <rPh sb="6" eb="8">
      <t>タッセイ</t>
    </rPh>
    <rPh sb="8" eb="9">
      <t>ド</t>
    </rPh>
    <phoneticPr fontId="2"/>
  </si>
  <si>
    <t>目標達成にやや不満あり標準以下</t>
    <rPh sb="0" eb="2">
      <t>モクヒョウ</t>
    </rPh>
    <rPh sb="2" eb="4">
      <t>タッセイ</t>
    </rPh>
    <rPh sb="7" eb="9">
      <t>フマン</t>
    </rPh>
    <rPh sb="11" eb="13">
      <t>ヒョウジュン</t>
    </rPh>
    <rPh sb="13" eb="15">
      <t>イカ</t>
    </rPh>
    <phoneticPr fontId="2"/>
  </si>
  <si>
    <t>評</t>
    <rPh sb="0" eb="1">
      <t>ヒョウ</t>
    </rPh>
    <phoneticPr fontId="2"/>
  </si>
  <si>
    <t>80%未満の達成度</t>
    <phoneticPr fontId="2"/>
  </si>
  <si>
    <t>目標達成にかなり不満あり標準より相当低い</t>
    <rPh sb="12" eb="14">
      <t>ヒョウジュン</t>
    </rPh>
    <rPh sb="16" eb="18">
      <t>ソウトウ</t>
    </rPh>
    <rPh sb="18" eb="19">
      <t>ヒク</t>
    </rPh>
    <phoneticPr fontId="2"/>
  </si>
  <si>
    <t>C</t>
    <phoneticPr fontId="2"/>
  </si>
  <si>
    <t>そのグレード・役職として、達成することが容易と思われる目標で、組織貢献度はやや低めの目標</t>
    <phoneticPr fontId="2"/>
  </si>
  <si>
    <t>価</t>
    <rPh sb="0" eb="1">
      <t>アタイ</t>
    </rPh>
    <phoneticPr fontId="2"/>
  </si>
  <si>
    <t>〔業績評価 評価点〕</t>
    <rPh sb="1" eb="3">
      <t>ギョウセキ</t>
    </rPh>
    <rPh sb="3" eb="5">
      <t>ヒョウカ</t>
    </rPh>
    <rPh sb="6" eb="8">
      <t>ヒョウカ</t>
    </rPh>
    <rPh sb="8" eb="9">
      <t>テン</t>
    </rPh>
    <phoneticPr fontId="2"/>
  </si>
  <si>
    <t>　（D）</t>
    <phoneticPr fontId="2"/>
  </si>
  <si>
    <t>　（E）</t>
    <phoneticPr fontId="2"/>
  </si>
  <si>
    <t>業　績</t>
    <rPh sb="0" eb="1">
      <t>ギョウ</t>
    </rPh>
    <rPh sb="2" eb="3">
      <t>ツムギ</t>
    </rPh>
    <phoneticPr fontId="2"/>
  </si>
  <si>
    <t>加減点</t>
    <rPh sb="0" eb="2">
      <t>カゲン</t>
    </rPh>
    <rPh sb="2" eb="3">
      <t>テン</t>
    </rPh>
    <phoneticPr fontId="2"/>
  </si>
  <si>
    <t>合　計</t>
    <rPh sb="0" eb="1">
      <t>ゴウ</t>
    </rPh>
    <rPh sb="2" eb="3">
      <t>ケイ</t>
    </rPh>
    <phoneticPr fontId="2"/>
  </si>
  <si>
    <t>※評価実施時に記入</t>
    <rPh sb="1" eb="3">
      <t>ヒョウカ</t>
    </rPh>
    <rPh sb="3" eb="5">
      <t>ジッシ</t>
    </rPh>
    <rPh sb="5" eb="6">
      <t>ジ</t>
    </rPh>
    <rPh sb="7" eb="9">
      <t>キニュウ</t>
    </rPh>
    <phoneticPr fontId="2"/>
  </si>
  <si>
    <t>上　期　評　価</t>
    <rPh sb="0" eb="1">
      <t>ウエ</t>
    </rPh>
    <rPh sb="2" eb="3">
      <t>キ</t>
    </rPh>
    <rPh sb="4" eb="5">
      <t>ヒョウ</t>
    </rPh>
    <rPh sb="6" eb="7">
      <t>アタイ</t>
    </rPh>
    <phoneticPr fontId="2"/>
  </si>
  <si>
    <t>下　期　評　価</t>
    <rPh sb="0" eb="1">
      <t>シタ</t>
    </rPh>
    <rPh sb="2" eb="3">
      <t>キ</t>
    </rPh>
    <rPh sb="4" eb="5">
      <t>ヒョウ</t>
    </rPh>
    <rPh sb="6" eb="7">
      <t>アタイ</t>
    </rPh>
    <phoneticPr fontId="2"/>
  </si>
  <si>
    <t>本人記入</t>
    <rPh sb="0" eb="2">
      <t>ホンニン</t>
    </rPh>
    <rPh sb="2" eb="4">
      <t>キニュウ</t>
    </rPh>
    <phoneticPr fontId="2"/>
  </si>
  <si>
    <t>上司(1・2次)記入</t>
    <rPh sb="0" eb="2">
      <t>ジョウシ</t>
    </rPh>
    <rPh sb="6" eb="7">
      <t>ジ</t>
    </rPh>
    <rPh sb="8" eb="10">
      <t>キニュウ</t>
    </rPh>
    <phoneticPr fontId="2"/>
  </si>
  <si>
    <t>【コンピテンシー評価シート（管理職・役職者用）】</t>
    <rPh sb="18" eb="20">
      <t>ヤクショク</t>
    </rPh>
    <rPh sb="20" eb="21">
      <t>シャ</t>
    </rPh>
    <phoneticPr fontId="2"/>
  </si>
  <si>
    <t>被評価者</t>
    <rPh sb="0" eb="1">
      <t>ヒ</t>
    </rPh>
    <rPh sb="1" eb="3">
      <t>ヒョウカ</t>
    </rPh>
    <rPh sb="3" eb="4">
      <t>シャ</t>
    </rPh>
    <phoneticPr fontId="2"/>
  </si>
  <si>
    <t>所　　属</t>
    <rPh sb="0" eb="1">
      <t>トコロ</t>
    </rPh>
    <rPh sb="3" eb="4">
      <t>ゾク</t>
    </rPh>
    <phoneticPr fontId="2"/>
  </si>
  <si>
    <t>※評点決定基準</t>
    <rPh sb="1" eb="3">
      <t>ヒョウテン</t>
    </rPh>
    <rPh sb="3" eb="5">
      <t>ケッテイ</t>
    </rPh>
    <rPh sb="5" eb="7">
      <t>キジュン</t>
    </rPh>
    <phoneticPr fontId="2"/>
  </si>
  <si>
    <t>評　　価　　尺　　度</t>
    <rPh sb="0" eb="1">
      <t>ヒョウ</t>
    </rPh>
    <rPh sb="3" eb="4">
      <t>アタイ</t>
    </rPh>
    <rPh sb="6" eb="7">
      <t>シャク</t>
    </rPh>
    <rPh sb="9" eb="10">
      <t>タビ</t>
    </rPh>
    <phoneticPr fontId="2"/>
  </si>
  <si>
    <t>氏　　名</t>
    <rPh sb="0" eb="1">
      <t>シ</t>
    </rPh>
    <rPh sb="3" eb="4">
      <t>メイ</t>
    </rPh>
    <phoneticPr fontId="2"/>
  </si>
  <si>
    <t>必要な時に常に発揮しており、そのグレード・役職において、その行動は群を抜いていて一流である</t>
    <rPh sb="0" eb="2">
      <t>ヒツヨウ</t>
    </rPh>
    <rPh sb="3" eb="4">
      <t>トキ</t>
    </rPh>
    <rPh sb="5" eb="6">
      <t>ツネ</t>
    </rPh>
    <rPh sb="7" eb="9">
      <t>ハッキ</t>
    </rPh>
    <rPh sb="21" eb="23">
      <t>ヤクショク</t>
    </rPh>
    <rPh sb="30" eb="31">
      <t>コウ</t>
    </rPh>
    <rPh sb="31" eb="32">
      <t>ドウ</t>
    </rPh>
    <rPh sb="33" eb="34">
      <t>グン</t>
    </rPh>
    <rPh sb="35" eb="36">
      <t>ヌ</t>
    </rPh>
    <rPh sb="40" eb="42">
      <t>イチリュウ</t>
    </rPh>
    <phoneticPr fontId="2"/>
  </si>
  <si>
    <t>必要な時に十分発揮しており、そのグレード・役職において、その行動は他の模範となっている</t>
    <rPh sb="0" eb="2">
      <t>ヒツヨウ</t>
    </rPh>
    <rPh sb="3" eb="4">
      <t>トキ</t>
    </rPh>
    <rPh sb="5" eb="7">
      <t>ジュウブン</t>
    </rPh>
    <rPh sb="7" eb="9">
      <t>ハッキ</t>
    </rPh>
    <rPh sb="30" eb="31">
      <t>コウ</t>
    </rPh>
    <rPh sb="31" eb="32">
      <t>ドウ</t>
    </rPh>
    <rPh sb="33" eb="34">
      <t>タ</t>
    </rPh>
    <rPh sb="35" eb="37">
      <t>モハン</t>
    </rPh>
    <phoneticPr fontId="2"/>
  </si>
  <si>
    <t>職　　種</t>
    <rPh sb="0" eb="1">
      <t>ショク</t>
    </rPh>
    <rPh sb="3" eb="4">
      <t>タネ</t>
    </rPh>
    <phoneticPr fontId="2"/>
  </si>
  <si>
    <t>役　　職</t>
    <rPh sb="0" eb="1">
      <t>エキ</t>
    </rPh>
    <rPh sb="3" eb="4">
      <t>ショク</t>
    </rPh>
    <phoneticPr fontId="2"/>
  </si>
  <si>
    <t>必要な時に発揮しており、そのグレード・役職において、その行動に問題はない</t>
    <rPh sb="0" eb="2">
      <t>ヒツヨウ</t>
    </rPh>
    <rPh sb="3" eb="4">
      <t>トキ</t>
    </rPh>
    <rPh sb="5" eb="7">
      <t>ハッキ</t>
    </rPh>
    <rPh sb="28" eb="29">
      <t>コウ</t>
    </rPh>
    <rPh sb="29" eb="30">
      <t>ドウ</t>
    </rPh>
    <rPh sb="31" eb="33">
      <t>モンダイ</t>
    </rPh>
    <phoneticPr fontId="2"/>
  </si>
  <si>
    <t>必要な時に時々発揮しているが、そのグレード・役職として、その行動にはムラがあり、改善が必要である</t>
    <rPh sb="0" eb="2">
      <t>ヒツヨウ</t>
    </rPh>
    <rPh sb="3" eb="4">
      <t>トキ</t>
    </rPh>
    <rPh sb="5" eb="7">
      <t>トキドキ</t>
    </rPh>
    <rPh sb="7" eb="9">
      <t>ハッキ</t>
    </rPh>
    <rPh sb="30" eb="31">
      <t>コウ</t>
    </rPh>
    <rPh sb="31" eb="32">
      <t>ドウ</t>
    </rPh>
    <rPh sb="40" eb="42">
      <t>カイゼン</t>
    </rPh>
    <rPh sb="43" eb="45">
      <t>ヒツヨウ</t>
    </rPh>
    <phoneticPr fontId="2"/>
  </si>
  <si>
    <t>必要な時にほとんど発揮しておらず、そのグレード・役職として、業務遂行に支障をきたすような問題が生じる</t>
    <rPh sb="0" eb="2">
      <t>ヒツヨウ</t>
    </rPh>
    <rPh sb="3" eb="4">
      <t>トキ</t>
    </rPh>
    <rPh sb="9" eb="11">
      <t>ハッキ</t>
    </rPh>
    <rPh sb="30" eb="32">
      <t>ギョウム</t>
    </rPh>
    <rPh sb="32" eb="34">
      <t>スイコウ</t>
    </rPh>
    <rPh sb="35" eb="37">
      <t>シショウ</t>
    </rPh>
    <rPh sb="44" eb="46">
      <t>モンダイ</t>
    </rPh>
    <rPh sb="47" eb="48">
      <t>ショウ</t>
    </rPh>
    <phoneticPr fontId="2"/>
  </si>
  <si>
    <t>※評価点＝ウェイト点×評点</t>
    <rPh sb="1" eb="3">
      <t>ヒョウカ</t>
    </rPh>
    <rPh sb="3" eb="4">
      <t>テン</t>
    </rPh>
    <rPh sb="9" eb="10">
      <t>テン</t>
    </rPh>
    <rPh sb="11" eb="13">
      <t>ヒョウテン</t>
    </rPh>
    <phoneticPr fontId="2"/>
  </si>
  <si>
    <t>↑実施後はデータ印押印または氏名・日付入力↑</t>
    <rPh sb="1" eb="3">
      <t>ジッシ</t>
    </rPh>
    <rPh sb="3" eb="4">
      <t>ゴ</t>
    </rPh>
    <rPh sb="8" eb="9">
      <t>イン</t>
    </rPh>
    <rPh sb="9" eb="11">
      <t>オウイン</t>
    </rPh>
    <phoneticPr fontId="2"/>
  </si>
  <si>
    <t>コンピテンシー
評価項目</t>
    <rPh sb="8" eb="10">
      <t>ヒョウカ</t>
    </rPh>
    <rPh sb="10" eb="12">
      <t>コウモク</t>
    </rPh>
    <phoneticPr fontId="2"/>
  </si>
  <si>
    <t>評価基準（行動の発揮頻度と質から判断して下さい）</t>
    <rPh sb="0" eb="2">
      <t>ヒョウカ</t>
    </rPh>
    <rPh sb="2" eb="4">
      <t>キジュン</t>
    </rPh>
    <rPh sb="5" eb="7">
      <t>コウドウ</t>
    </rPh>
    <rPh sb="8" eb="10">
      <t>ハッキ</t>
    </rPh>
    <rPh sb="10" eb="12">
      <t>ヒンド</t>
    </rPh>
    <rPh sb="13" eb="14">
      <t>シツ</t>
    </rPh>
    <rPh sb="16" eb="18">
      <t>ハンダン</t>
    </rPh>
    <rPh sb="20" eb="21">
      <t>クダ</t>
    </rPh>
    <phoneticPr fontId="2"/>
  </si>
  <si>
    <t>ウェイト</t>
    <phoneticPr fontId="2"/>
  </si>
  <si>
    <t>上期評価</t>
    <rPh sb="0" eb="2">
      <t>カミキ</t>
    </rPh>
    <rPh sb="2" eb="4">
      <t>ヒョウカ</t>
    </rPh>
    <phoneticPr fontId="2"/>
  </si>
  <si>
    <t>下期評価</t>
    <rPh sb="0" eb="2">
      <t>シモキ</t>
    </rPh>
    <rPh sb="2" eb="4">
      <t>ヒョウカ</t>
    </rPh>
    <phoneticPr fontId="2"/>
  </si>
  <si>
    <t>自己評価</t>
    <rPh sb="0" eb="2">
      <t>ジコ</t>
    </rPh>
    <rPh sb="2" eb="4">
      <t>ヒョウカ</t>
    </rPh>
    <phoneticPr fontId="2"/>
  </si>
  <si>
    <t>1次評価</t>
    <rPh sb="1" eb="2">
      <t>ジ</t>
    </rPh>
    <rPh sb="2" eb="4">
      <t>ヒョウカ</t>
    </rPh>
    <phoneticPr fontId="2"/>
  </si>
  <si>
    <t>2次評価</t>
    <rPh sb="1" eb="2">
      <t>ジ</t>
    </rPh>
    <rPh sb="2" eb="4">
      <t>ヒョウカ</t>
    </rPh>
    <phoneticPr fontId="2"/>
  </si>
  <si>
    <t>ｳｪｲﾄ点</t>
    <rPh sb="4" eb="5">
      <t>テン</t>
    </rPh>
    <phoneticPr fontId="2"/>
  </si>
  <si>
    <t>小計</t>
    <rPh sb="0" eb="2">
      <t>ショウケイ</t>
    </rPh>
    <phoneticPr fontId="2"/>
  </si>
  <si>
    <t>評点計</t>
    <rPh sb="0" eb="2">
      <t>ヒョウテン</t>
    </rPh>
    <rPh sb="2" eb="3">
      <t>ケイ</t>
    </rPh>
    <phoneticPr fontId="2"/>
  </si>
  <si>
    <t>評価理由</t>
    <rPh sb="0" eb="2">
      <t>ヒョウカ</t>
    </rPh>
    <rPh sb="2" eb="4">
      <t>リユウ</t>
    </rPh>
    <phoneticPr fontId="2"/>
  </si>
  <si>
    <t>全社共通
(管理職・役職者用）</t>
    <rPh sb="8" eb="9">
      <t>ショク</t>
    </rPh>
    <rPh sb="10" eb="13">
      <t>ヤクショクシャ</t>
    </rPh>
    <rPh sb="13" eb="14">
      <t>ヨウ</t>
    </rPh>
    <phoneticPr fontId="2"/>
  </si>
  <si>
    <t>チャレンジ精神と信念ある勇気</t>
  </si>
  <si>
    <t>困難に立ち向かう勇気とどんな苦労も厭わない忍耐・努力により、高い目標を設定し、現状に留まらず常に新しいものを創り出すチャレンジをしているか</t>
    <phoneticPr fontId="2"/>
  </si>
  <si>
    <t>柔軟性ある自己適応・自己変革</t>
  </si>
  <si>
    <t>・自己を理解し、状況に応じた柔軟かつバランス良い環境適応が出来ているか 
・常に謙虚な気持ちを持ち、目標と現状のギャップに対し、貪欲に知識・経験を求め続けることにより、自己変革へ惜しまぬ努力をしているか</t>
    <phoneticPr fontId="2"/>
  </si>
  <si>
    <t>合目的な判断力と行動力</t>
  </si>
  <si>
    <t>自らの立場から求められる成果責任に基づき、本質的な目的を押さえた上でシンプルに考え、目標達成の為に現実に必要な判断や行動をとっているか</t>
    <phoneticPr fontId="2"/>
  </si>
  <si>
    <t>コスト意識</t>
  </si>
  <si>
    <t>中長期的に収益性の維持・向上まで視野に入れ、仕事を効率的に進めると共に、コストパフォーマンスを最大化する行動をしているか</t>
    <phoneticPr fontId="2"/>
  </si>
  <si>
    <t>迅速性</t>
  </si>
  <si>
    <t>様々な内外の状況変化を感じ取りながら、その場ごとに応じた最適な判断・行動を迅速に行い、最大限の成果・結果を出すことに取組めているか</t>
    <phoneticPr fontId="2"/>
  </si>
  <si>
    <t>利他の心による判断・行動</t>
    <phoneticPr fontId="2"/>
  </si>
  <si>
    <t>より良い社会および会社組織としていくために「自分だけがよければいい」と考える利己の心でなく、日頃から「自分を犠牲にしても部下・後輩・仲間のために尽くす」とする利他の心により、社会や組織全体のことを考え、思いやりに満ちた「利他の心」に立って判断・行動をとっているか</t>
    <rPh sb="87" eb="89">
      <t>シャカイ</t>
    </rPh>
    <phoneticPr fontId="2"/>
  </si>
  <si>
    <t>管理職・役職者
共通</t>
    <rPh sb="0" eb="2">
      <t>カンリ</t>
    </rPh>
    <rPh sb="2" eb="3">
      <t>ショク</t>
    </rPh>
    <rPh sb="4" eb="7">
      <t>ヤクショクシャ</t>
    </rPh>
    <rPh sb="8" eb="10">
      <t>キョウツウ</t>
    </rPh>
    <phoneticPr fontId="2"/>
  </si>
  <si>
    <t>戦略的リーダーシップ</t>
  </si>
  <si>
    <t>グローバルな視点・連結経営の視点から発想し、メンバーに方針や目標を提示し動機付けると共に自主性・自立性を引き出し、信頼を得ながら組織を牽引してるか</t>
    <phoneticPr fontId="2"/>
  </si>
  <si>
    <t>人材育成</t>
  </si>
  <si>
    <t>育成対象者の能力開発（計画）を視野に各人に適切なチャンスを与え、その動機付け・プロセス・結果に対して適宜指導し、人を育てているか</t>
  </si>
  <si>
    <t>先見性</t>
  </si>
  <si>
    <t>狭い範囲や視点に固執せず将来の環境変化を予測し、前例のない事象に対してもあらゆる有効な情報を積極的に収集し、仕事に取り入れ率先して行動しているか</t>
  </si>
  <si>
    <t>概念的思考</t>
  </si>
  <si>
    <t>大局的視点や深い洞察力、独自のアイデアに基づき新しい概念を創出したり、対応策を導き出しているか</t>
  </si>
  <si>
    <t>危機意識</t>
  </si>
  <si>
    <t>現状（複数の事象・状況）を批判的・客観的に洞察し、経営上、職務遂行上の視点から課題を特定・理解し、適切な判断、行動をしているか</t>
  </si>
  <si>
    <t>※振返りと反省点及び次への改善点（評価実施時に記入）</t>
    <rPh sb="1" eb="3">
      <t>フリカエ</t>
    </rPh>
    <rPh sb="5" eb="8">
      <t>ハンセイテン</t>
    </rPh>
    <rPh sb="8" eb="9">
      <t>オヨ</t>
    </rPh>
    <rPh sb="10" eb="11">
      <t>ツギ</t>
    </rPh>
    <rPh sb="13" eb="16">
      <t>カイゼンテン</t>
    </rPh>
    <rPh sb="17" eb="19">
      <t>ヒョウカ</t>
    </rPh>
    <rPh sb="19" eb="22">
      <t>ジッシジ</t>
    </rPh>
    <rPh sb="23" eb="25">
      <t>キニュウ</t>
    </rPh>
    <phoneticPr fontId="2"/>
  </si>
  <si>
    <t>自己</t>
    <rPh sb="0" eb="2">
      <t>ジコ</t>
    </rPh>
    <phoneticPr fontId="2"/>
  </si>
  <si>
    <t>１次</t>
    <rPh sb="1" eb="2">
      <t>ジ</t>
    </rPh>
    <phoneticPr fontId="2"/>
  </si>
  <si>
    <t>２次</t>
    <rPh sb="1" eb="2">
      <t>ジ</t>
    </rPh>
    <phoneticPr fontId="2"/>
  </si>
  <si>
    <t>上司(1・2次)記入</t>
    <phoneticPr fontId="2"/>
  </si>
  <si>
    <t>総合評価</t>
    <rPh sb="0" eb="4">
      <t>ソウゴウヒョウカ</t>
    </rPh>
    <phoneticPr fontId="2"/>
  </si>
  <si>
    <t>１次評価点</t>
    <rPh sb="1" eb="2">
      <t>ジ</t>
    </rPh>
    <rPh sb="2" eb="4">
      <t>ヒョウカ</t>
    </rPh>
    <rPh sb="4" eb="5">
      <t>テン</t>
    </rPh>
    <phoneticPr fontId="2"/>
  </si>
  <si>
    <t>２次評価点</t>
    <rPh sb="1" eb="2">
      <t>ジ</t>
    </rPh>
    <rPh sb="2" eb="4">
      <t>ヒョウカ</t>
    </rPh>
    <rPh sb="4" eb="5">
      <t>テン</t>
    </rPh>
    <phoneticPr fontId="2"/>
  </si>
  <si>
    <t>※評点合計＝</t>
    <rPh sb="1" eb="3">
      <t>ヒョウテン</t>
    </rPh>
    <rPh sb="3" eb="5">
      <t>ゴウケイ</t>
    </rPh>
    <phoneticPr fontId="2"/>
  </si>
  <si>
    <t>上期評価</t>
    <rPh sb="0" eb="1">
      <t>ウエ</t>
    </rPh>
    <rPh sb="1" eb="2">
      <t>キ</t>
    </rPh>
    <rPh sb="2" eb="4">
      <t>ヒョウカ</t>
    </rPh>
    <phoneticPr fontId="2"/>
  </si>
  <si>
    <t>Σ（ウエイト点×評点）÷5</t>
    <rPh sb="6" eb="7">
      <t>テン</t>
    </rPh>
    <rPh sb="8" eb="10">
      <t>ヒョウテン</t>
    </rPh>
    <phoneticPr fontId="2"/>
  </si>
  <si>
    <t>下期評価</t>
    <rPh sb="0" eb="1">
      <t>シタ</t>
    </rPh>
    <rPh sb="1" eb="2">
      <t>キ</t>
    </rPh>
    <rPh sb="2" eb="4">
      <t>ヒョウカ</t>
    </rPh>
    <phoneticPr fontId="2"/>
  </si>
  <si>
    <t>【コンピテンシー評価シート（一般職用）】</t>
    <rPh sb="14" eb="16">
      <t>イッパン</t>
    </rPh>
    <rPh sb="16" eb="17">
      <t>ショク</t>
    </rPh>
    <phoneticPr fontId="2"/>
  </si>
  <si>
    <t>全社共通
(一般職用）</t>
    <rPh sb="6" eb="8">
      <t>イッパン</t>
    </rPh>
    <rPh sb="8" eb="9">
      <t>ショク</t>
    </rPh>
    <rPh sb="9" eb="10">
      <t>ヨウ</t>
    </rPh>
    <phoneticPr fontId="2"/>
  </si>
  <si>
    <t>現状に留まらず、常に目標へ向かい、努力することにより、弛まぬチャレンジをしているか</t>
    <phoneticPr fontId="2"/>
  </si>
  <si>
    <t>・自己を理解し、状況に応じ柔軟に環境変化への適応が出来ているか 
・常に謙虚な気持ちを持ち、目標と現状のギャップに対し、貪欲に知識・経験を求め続けることにより、自己変革へ惜しまぬ努力をしているか</t>
    <phoneticPr fontId="2"/>
  </si>
  <si>
    <t>常にコスト意識をもって効率的に仕事をし、最小のコストで最大の成果を出すべく考え行動しているか</t>
    <phoneticPr fontId="2"/>
  </si>
  <si>
    <t>求められていることに対し、納期に捉われず、常に前倒し意識をもって、業務遂行し、より多くの成果・結果を出すことへの貢献が出来ているか</t>
    <phoneticPr fontId="2"/>
  </si>
  <si>
    <t>より良い仕事をしていくために「自分だけがよければいい」と考える利己の心でなく、日頃から「上司・先輩・仲間を助けよう」とする利他の心により、まわりの人のことを考え、思いやりに満ちた「利他の心」に立って判断・行動をとっているか</t>
    <phoneticPr fontId="2"/>
  </si>
  <si>
    <t>一般職
共通</t>
    <rPh sb="0" eb="2">
      <t>イッパン</t>
    </rPh>
    <rPh sb="2" eb="3">
      <t>ショク</t>
    </rPh>
    <rPh sb="4" eb="6">
      <t>キョウツウ</t>
    </rPh>
    <phoneticPr fontId="2"/>
  </si>
  <si>
    <t>専門性の活用</t>
    <phoneticPr fontId="2"/>
  </si>
  <si>
    <t>専門知識を自らの業務に応用展開し、専門性ある人材として行動しているか</t>
    <phoneticPr fontId="2"/>
  </si>
  <si>
    <t>チームワーク</t>
    <phoneticPr fontId="2"/>
  </si>
  <si>
    <t>組織目標を達成するため、主体的に取り組むことでチームに協力・貢献しているか</t>
    <phoneticPr fontId="2"/>
  </si>
  <si>
    <t>プレゼンテーション力</t>
    <phoneticPr fontId="2"/>
  </si>
  <si>
    <t>適切なツール等を活用し、相手の状況を理解すると共にこちらの意図や重要な点を効果的に伝え理解してもらっているか</t>
    <phoneticPr fontId="2"/>
  </si>
  <si>
    <t>顧客志向</t>
    <phoneticPr fontId="2"/>
  </si>
  <si>
    <t>顧客が満足するように精一杯取組み、要求に対応し、期待に応えるように取り組んでいるか</t>
    <phoneticPr fontId="2"/>
  </si>
  <si>
    <t>対人折衝力</t>
    <phoneticPr fontId="2"/>
  </si>
  <si>
    <t>対人折衝面において、相手を安心させ、信頼感を抱かせているか</t>
    <phoneticPr fontId="2"/>
  </si>
  <si>
    <t>キャリアビジョン・シート</t>
    <phoneticPr fontId="35"/>
  </si>
  <si>
    <r>
      <rPr>
        <b/>
        <sz val="11"/>
        <color rgb="FF000000"/>
        <rFont val="ＭＳ Ｐゴシック"/>
        <family val="3"/>
        <charset val="128"/>
      </rPr>
      <t>更新日</t>
    </r>
    <rPh sb="0" eb="2">
      <t>コウシン</t>
    </rPh>
    <rPh sb="2" eb="3">
      <t>ヒ</t>
    </rPh>
    <phoneticPr fontId="35"/>
  </si>
  <si>
    <t>NSCS</t>
    <phoneticPr fontId="35"/>
  </si>
  <si>
    <r>
      <rPr>
        <b/>
        <sz val="12"/>
        <color rgb="FF000000"/>
        <rFont val="ＭＳ Ｐゴシック"/>
        <family val="3"/>
        <charset val="128"/>
      </rPr>
      <t>所属</t>
    </r>
    <rPh sb="0" eb="2">
      <t>ショゾク</t>
    </rPh>
    <phoneticPr fontId="35"/>
  </si>
  <si>
    <r>
      <rPr>
        <b/>
        <sz val="12"/>
        <color rgb="FF000000"/>
        <rFont val="ＭＳ Ｐゴシック"/>
        <family val="3"/>
        <charset val="128"/>
      </rPr>
      <t>氏名</t>
    </r>
    <rPh sb="0" eb="2">
      <t>シメイ</t>
    </rPh>
    <phoneticPr fontId="35"/>
  </si>
  <si>
    <t>仕事観</t>
    <rPh sb="0" eb="2">
      <t>シゴト</t>
    </rPh>
    <rPh sb="2" eb="3">
      <t>カン</t>
    </rPh>
    <phoneticPr fontId="35"/>
  </si>
  <si>
    <r>
      <rPr>
        <b/>
        <sz val="12"/>
        <color rgb="FF000000"/>
        <rFont val="ＭＳ Ｐゴシック"/>
        <family val="3"/>
        <charset val="128"/>
      </rPr>
      <t>あなたは、仕事の中で、どんな時に喜び（働きがい）を感じますか？　</t>
    </r>
    <rPh sb="5" eb="7">
      <t>シゴト</t>
    </rPh>
    <rPh sb="8" eb="9">
      <t>ナカ</t>
    </rPh>
    <rPh sb="14" eb="15">
      <t>トキ</t>
    </rPh>
    <rPh sb="16" eb="17">
      <t>ヨロコ</t>
    </rPh>
    <rPh sb="19" eb="20">
      <t>ハタラ</t>
    </rPh>
    <rPh sb="25" eb="26">
      <t>カン</t>
    </rPh>
    <phoneticPr fontId="35"/>
  </si>
  <si>
    <r>
      <rPr>
        <b/>
        <sz val="12"/>
        <color rgb="FF000000"/>
        <rFont val="ＭＳ Ｐゴシック"/>
        <family val="3"/>
        <charset val="128"/>
      </rPr>
      <t>社是
の実現</t>
    </r>
    <rPh sb="0" eb="2">
      <t>シャゼ</t>
    </rPh>
    <rPh sb="4" eb="6">
      <t>ジツゲン</t>
    </rPh>
    <phoneticPr fontId="35"/>
  </si>
  <si>
    <r>
      <rPr>
        <b/>
        <sz val="12"/>
        <color rgb="FF000000"/>
        <rFont val="ＭＳ Ｐゴシック"/>
        <family val="3"/>
        <charset val="128"/>
      </rPr>
      <t>社是：顧客の満足と社員の幸せを実現する為に業界</t>
    </r>
    <r>
      <rPr>
        <b/>
        <sz val="12"/>
        <color rgb="FF000000"/>
        <rFont val="Arial"/>
        <family val="2"/>
      </rPr>
      <t>No.1</t>
    </r>
    <r>
      <rPr>
        <b/>
        <sz val="12"/>
        <color rgb="FF000000"/>
        <rFont val="ＭＳ Ｐゴシック"/>
        <family val="3"/>
        <charset val="128"/>
      </rPr>
      <t>に挑戦する</t>
    </r>
    <rPh sb="0" eb="2">
      <t>シャゼ</t>
    </rPh>
    <rPh sb="3" eb="5">
      <t>コキャク</t>
    </rPh>
    <rPh sb="6" eb="8">
      <t>マンゾク</t>
    </rPh>
    <rPh sb="9" eb="11">
      <t>シャイン</t>
    </rPh>
    <rPh sb="12" eb="13">
      <t>シアワ</t>
    </rPh>
    <rPh sb="15" eb="17">
      <t>ジツゲン</t>
    </rPh>
    <rPh sb="19" eb="20">
      <t>タメ</t>
    </rPh>
    <rPh sb="21" eb="23">
      <t>ギョウカイ</t>
    </rPh>
    <rPh sb="28" eb="30">
      <t>チョウセン</t>
    </rPh>
    <phoneticPr fontId="35"/>
  </si>
  <si>
    <r>
      <rPr>
        <b/>
        <sz val="12"/>
        <color rgb="FF000000"/>
        <rFont val="ＭＳ Ｐゴシック"/>
        <family val="3"/>
        <charset val="128"/>
      </rPr>
      <t>①</t>
    </r>
    <r>
      <rPr>
        <b/>
        <sz val="12"/>
        <color rgb="FF000000"/>
        <rFont val="Arial"/>
        <family val="2"/>
      </rPr>
      <t xml:space="preserve"> </t>
    </r>
    <r>
      <rPr>
        <b/>
        <sz val="12"/>
        <color rgb="FF000000"/>
        <rFont val="ＭＳ Ｐゴシック"/>
        <family val="3"/>
        <charset val="128"/>
      </rPr>
      <t>あなたの「顧客」は誰ですか？</t>
    </r>
    <rPh sb="7" eb="9">
      <t>コキャク</t>
    </rPh>
    <rPh sb="11" eb="12">
      <t>ダレ</t>
    </rPh>
    <phoneticPr fontId="35"/>
  </si>
  <si>
    <r>
      <rPr>
        <b/>
        <sz val="12"/>
        <color rgb="FF000000"/>
        <rFont val="ＭＳ Ｐゴシック"/>
        <family val="3"/>
        <charset val="128"/>
      </rPr>
      <t>②</t>
    </r>
    <r>
      <rPr>
        <b/>
        <sz val="12"/>
        <color rgb="FF000000"/>
        <rFont val="Arial"/>
        <family val="2"/>
      </rPr>
      <t xml:space="preserve"> </t>
    </r>
    <r>
      <rPr>
        <b/>
        <sz val="12"/>
        <color rgb="FF000000"/>
        <rFont val="ＭＳ Ｐゴシック"/>
        <family val="3"/>
        <charset val="128"/>
      </rPr>
      <t>あなたの「顧客の満足」は何ですか？</t>
    </r>
    <rPh sb="7" eb="9">
      <t>コキャク</t>
    </rPh>
    <rPh sb="10" eb="12">
      <t>マンゾク</t>
    </rPh>
    <rPh sb="14" eb="15">
      <t>ナン</t>
    </rPh>
    <phoneticPr fontId="35"/>
  </si>
  <si>
    <r>
      <rPr>
        <b/>
        <sz val="12"/>
        <color rgb="FF000000"/>
        <rFont val="ＭＳ Ｐゴシック"/>
        <family val="3"/>
        <charset val="128"/>
      </rPr>
      <t>③</t>
    </r>
    <r>
      <rPr>
        <b/>
        <sz val="12"/>
        <color rgb="FF000000"/>
        <rFont val="Arial"/>
        <family val="2"/>
      </rPr>
      <t xml:space="preserve"> </t>
    </r>
    <r>
      <rPr>
        <b/>
        <sz val="12"/>
        <color rgb="FF000000"/>
        <rFont val="ＭＳ Ｐゴシック"/>
        <family val="3"/>
        <charset val="128"/>
      </rPr>
      <t>あなたが実現したい「社員の幸せ」は何ですか？</t>
    </r>
    <rPh sb="6" eb="8">
      <t>ジツゲン</t>
    </rPh>
    <rPh sb="12" eb="14">
      <t>シャイン</t>
    </rPh>
    <rPh sb="15" eb="16">
      <t>シアワ</t>
    </rPh>
    <rPh sb="19" eb="20">
      <t>ナニ</t>
    </rPh>
    <phoneticPr fontId="35"/>
  </si>
  <si>
    <r>
      <rPr>
        <b/>
        <sz val="12"/>
        <color rgb="FF000000"/>
        <rFont val="ＭＳ Ｐゴシック"/>
        <family val="3"/>
        <charset val="128"/>
      </rPr>
      <t>④</t>
    </r>
    <r>
      <rPr>
        <b/>
        <sz val="12"/>
        <color rgb="FF000000"/>
        <rFont val="Arial"/>
        <family val="2"/>
      </rPr>
      <t xml:space="preserve"> </t>
    </r>
    <r>
      <rPr>
        <b/>
        <sz val="12"/>
        <color rgb="FF000000"/>
        <rFont val="ＭＳ Ｐゴシック"/>
        <family val="3"/>
        <charset val="128"/>
      </rPr>
      <t>あなたは、どの分野で</t>
    </r>
    <r>
      <rPr>
        <b/>
        <sz val="12"/>
        <color rgb="FF000000"/>
        <rFont val="Arial"/>
        <family val="2"/>
      </rPr>
      <t>No.1</t>
    </r>
    <r>
      <rPr>
        <b/>
        <sz val="12"/>
        <color rgb="FF000000"/>
        <rFont val="ＭＳ Ｐゴシック"/>
        <family val="3"/>
        <charset val="128"/>
      </rPr>
      <t>にチャレンジしますか</t>
    </r>
    <rPh sb="9" eb="11">
      <t>ブンヤ</t>
    </rPh>
    <phoneticPr fontId="35"/>
  </si>
  <si>
    <t>事業計画
への貢献</t>
    <rPh sb="0" eb="2">
      <t>ジギョウ</t>
    </rPh>
    <rPh sb="2" eb="4">
      <t>ケイカク</t>
    </rPh>
    <rPh sb="7" eb="9">
      <t>コウケン</t>
    </rPh>
    <phoneticPr fontId="35"/>
  </si>
  <si>
    <t>事業計画に対し、あなたが担うミッションは何ですか？</t>
    <rPh sb="0" eb="2">
      <t>ジギョウ</t>
    </rPh>
    <rPh sb="2" eb="4">
      <t>ケイカク</t>
    </rPh>
    <rPh sb="5" eb="6">
      <t>タイ</t>
    </rPh>
    <rPh sb="12" eb="13">
      <t>ニナ</t>
    </rPh>
    <rPh sb="20" eb="21">
      <t>ナン</t>
    </rPh>
    <phoneticPr fontId="35"/>
  </si>
  <si>
    <r>
      <rPr>
        <b/>
        <sz val="14"/>
        <color rgb="FF000000"/>
        <rFont val="HGS創英角ｺﾞｼｯｸUB"/>
        <family val="3"/>
        <charset val="128"/>
      </rPr>
      <t>↓</t>
    </r>
    <phoneticPr fontId="35"/>
  </si>
  <si>
    <t>キャリアビジョン</t>
    <phoneticPr fontId="35"/>
  </si>
  <si>
    <r>
      <rPr>
        <b/>
        <sz val="12"/>
        <color rgb="FF000000"/>
        <rFont val="ＭＳ Ｐゴシック"/>
        <family val="3"/>
        <charset val="128"/>
      </rPr>
      <t>あなたの</t>
    </r>
    <r>
      <rPr>
        <b/>
        <sz val="12"/>
        <color rgb="FF000000"/>
        <rFont val="Arial"/>
        <family val="2"/>
      </rPr>
      <t>”</t>
    </r>
    <r>
      <rPr>
        <b/>
        <sz val="12"/>
        <color rgb="FF000000"/>
        <rFont val="ＭＳ Ｐゴシック"/>
        <family val="3"/>
        <charset val="128"/>
      </rPr>
      <t>キャリアビジョン</t>
    </r>
    <r>
      <rPr>
        <b/>
        <sz val="12"/>
        <color rgb="FF000000"/>
        <rFont val="Arial"/>
        <family val="2"/>
      </rPr>
      <t>”</t>
    </r>
    <r>
      <rPr>
        <b/>
        <sz val="12"/>
        <color rgb="FF000000"/>
        <rFont val="ＭＳ Ｐゴシック"/>
        <family val="3"/>
        <charset val="128"/>
      </rPr>
      <t>（中長期キャリア目標）は何ですか？</t>
    </r>
    <r>
      <rPr>
        <sz val="12"/>
        <color rgb="FF000000"/>
        <rFont val="Arial"/>
        <family val="2"/>
      </rPr>
      <t xml:space="preserve">
</t>
    </r>
    <r>
      <rPr>
        <sz val="12"/>
        <color rgb="FF000000"/>
        <rFont val="ＭＳ Ｐゴシック"/>
        <family val="3"/>
        <charset val="128"/>
      </rPr>
      <t>注）</t>
    </r>
    <r>
      <rPr>
        <sz val="12"/>
        <color rgb="FF000000"/>
        <rFont val="Arial"/>
        <family val="2"/>
      </rPr>
      <t>”</t>
    </r>
    <r>
      <rPr>
        <sz val="12"/>
        <color rgb="FF000000"/>
        <rFont val="ＭＳ Ｐゴシック"/>
        <family val="3"/>
        <charset val="128"/>
      </rPr>
      <t>キャリアビジョン</t>
    </r>
    <r>
      <rPr>
        <sz val="12"/>
        <color rgb="FF000000"/>
        <rFont val="Arial"/>
        <family val="2"/>
      </rPr>
      <t>”</t>
    </r>
    <r>
      <rPr>
        <sz val="12"/>
        <color rgb="FF000000"/>
        <rFont val="ＭＳ Ｐゴシック"/>
        <family val="3"/>
        <charset val="128"/>
      </rPr>
      <t>とは、あなたが</t>
    </r>
    <r>
      <rPr>
        <sz val="12"/>
        <color rgb="FF000000"/>
        <rFont val="Arial"/>
        <family val="2"/>
      </rPr>
      <t xml:space="preserve"> 3</t>
    </r>
    <r>
      <rPr>
        <sz val="12"/>
        <color rgb="FF000000"/>
        <rFont val="ＭＳ Ｐゴシック"/>
        <family val="3"/>
        <charset val="128"/>
      </rPr>
      <t>～</t>
    </r>
    <r>
      <rPr>
        <sz val="12"/>
        <color rgb="FF000000"/>
        <rFont val="Arial"/>
        <family val="2"/>
      </rPr>
      <t>5</t>
    </r>
    <r>
      <rPr>
        <sz val="12"/>
        <color rgb="FF000000"/>
        <rFont val="ＭＳ Ｐゴシック"/>
        <family val="3"/>
        <charset val="128"/>
      </rPr>
      <t>年後に</t>
    </r>
    <r>
      <rPr>
        <sz val="12"/>
        <color rgb="FF000000"/>
        <rFont val="Arial"/>
        <family val="2"/>
      </rPr>
      <t>”</t>
    </r>
    <r>
      <rPr>
        <sz val="12"/>
        <color rgb="FF000000"/>
        <rFont val="ＭＳ Ｐゴシック"/>
        <family val="3"/>
        <charset val="128"/>
      </rPr>
      <t>ありたい姿</t>
    </r>
    <r>
      <rPr>
        <sz val="12"/>
        <color rgb="FF000000"/>
        <rFont val="Arial"/>
        <family val="2"/>
      </rPr>
      <t>”</t>
    </r>
    <r>
      <rPr>
        <sz val="12"/>
        <color rgb="FF000000"/>
        <rFont val="ＭＳ Ｐゴシック"/>
        <family val="3"/>
        <charset val="128"/>
      </rPr>
      <t>を、「○年後に、○○（な）社員になる」で表現</t>
    </r>
    <rPh sb="15" eb="18">
      <t>チュウチョウキ</t>
    </rPh>
    <rPh sb="22" eb="24">
      <t>モクヒョウ</t>
    </rPh>
    <rPh sb="26" eb="27">
      <t>ナン</t>
    </rPh>
    <rPh sb="32" eb="33">
      <t>チュウ</t>
    </rPh>
    <rPh sb="55" eb="57">
      <t>ネンゴ</t>
    </rPh>
    <rPh sb="63" eb="64">
      <t>スガタ</t>
    </rPh>
    <rPh sb="69" eb="70">
      <t>ネン</t>
    </rPh>
    <rPh sb="70" eb="71">
      <t>ゴ</t>
    </rPh>
    <rPh sb="78" eb="80">
      <t>シャイン</t>
    </rPh>
    <rPh sb="85" eb="87">
      <t>ヒョウゲン</t>
    </rPh>
    <phoneticPr fontId="35"/>
  </si>
  <si>
    <r>
      <rPr>
        <b/>
        <sz val="12"/>
        <color rgb="FF000000"/>
        <rFont val="ＭＳ Ｐゴシック"/>
        <family val="3"/>
        <charset val="128"/>
      </rPr>
      <t>キャリアビジョンを実現するための、短期キャリア目標（１年後）は何ですか？</t>
    </r>
    <rPh sb="9" eb="11">
      <t>ジツゲン</t>
    </rPh>
    <rPh sb="17" eb="19">
      <t>タンキ</t>
    </rPh>
    <rPh sb="23" eb="25">
      <t>モクヒョウ</t>
    </rPh>
    <rPh sb="27" eb="29">
      <t>ネンゴ</t>
    </rPh>
    <rPh sb="31" eb="32">
      <t>ナン</t>
    </rPh>
    <phoneticPr fontId="35"/>
  </si>
  <si>
    <r>
      <rPr>
        <b/>
        <sz val="12"/>
        <color rgb="FF000000"/>
        <rFont val="ＭＳ Ｐゴシック"/>
        <family val="3"/>
        <charset val="128"/>
      </rPr>
      <t xml:space="preserve">キャリアビジョンを実現するため、前提となるキャリア・パスをご記入ください。
</t>
    </r>
    <r>
      <rPr>
        <sz val="12"/>
        <color rgb="FF000000"/>
        <rFont val="ＭＳ Ｐゴシック"/>
        <family val="3"/>
        <charset val="128"/>
      </rPr>
      <t>注）「○年後に、○○を目指す」等で記入</t>
    </r>
    <rPh sb="9" eb="11">
      <t>ジツゲン</t>
    </rPh>
    <rPh sb="16" eb="18">
      <t>ゼンテイ</t>
    </rPh>
    <rPh sb="30" eb="32">
      <t>キニュウ</t>
    </rPh>
    <rPh sb="38" eb="39">
      <t>チュウ</t>
    </rPh>
    <rPh sb="42" eb="43">
      <t>ネン</t>
    </rPh>
    <rPh sb="43" eb="44">
      <t>ゴ</t>
    </rPh>
    <rPh sb="49" eb="51">
      <t>メザ</t>
    </rPh>
    <rPh sb="53" eb="54">
      <t>ナド</t>
    </rPh>
    <rPh sb="55" eb="57">
      <t>キニュウ</t>
    </rPh>
    <phoneticPr fontId="35"/>
  </si>
  <si>
    <t>【処遇コース／職場異動についての自己申告】</t>
    <rPh sb="1" eb="3">
      <t>ショグウ</t>
    </rPh>
    <rPh sb="7" eb="9">
      <t>ショクバ</t>
    </rPh>
    <rPh sb="9" eb="11">
      <t>イドウ</t>
    </rPh>
    <rPh sb="16" eb="18">
      <t>ジコ</t>
    </rPh>
    <rPh sb="18" eb="20">
      <t>シンコク</t>
    </rPh>
    <phoneticPr fontId="2"/>
  </si>
  <si>
    <t>必ず全員が回答し、選択欄に○を入れてください。</t>
    <rPh sb="0" eb="1">
      <t>カナラ</t>
    </rPh>
    <rPh sb="2" eb="4">
      <t>ゼンイン</t>
    </rPh>
    <rPh sb="5" eb="7">
      <t>カイトウ</t>
    </rPh>
    <rPh sb="9" eb="11">
      <t>センタク</t>
    </rPh>
    <rPh sb="11" eb="12">
      <t>ラン</t>
    </rPh>
    <rPh sb="15" eb="16">
      <t>イ</t>
    </rPh>
    <phoneticPr fontId="2"/>
  </si>
  <si>
    <t>■上期記入欄</t>
    <rPh sb="1" eb="3">
      <t>カミキ</t>
    </rPh>
    <rPh sb="3" eb="5">
      <t>キニュウ</t>
    </rPh>
    <rPh sb="5" eb="6">
      <t>ラン</t>
    </rPh>
    <phoneticPr fontId="2"/>
  </si>
  <si>
    <t>①どの処遇コースを選択するか？　（グローバル職：転勤、海外勤務あり　　ローカル職：転勤、海外勤務なし）</t>
    <rPh sb="3" eb="5">
      <t>ショグウ</t>
    </rPh>
    <rPh sb="9" eb="11">
      <t>センタク</t>
    </rPh>
    <rPh sb="22" eb="23">
      <t>ショク</t>
    </rPh>
    <rPh sb="24" eb="26">
      <t>テンキン</t>
    </rPh>
    <rPh sb="27" eb="29">
      <t>カイガイ</t>
    </rPh>
    <rPh sb="29" eb="31">
      <t>キンム</t>
    </rPh>
    <rPh sb="39" eb="40">
      <t>ショク</t>
    </rPh>
    <rPh sb="41" eb="43">
      <t>テンキン</t>
    </rPh>
    <rPh sb="44" eb="46">
      <t>カイガイ</t>
    </rPh>
    <rPh sb="46" eb="48">
      <t>キンム</t>
    </rPh>
    <phoneticPr fontId="2"/>
  </si>
  <si>
    <t>選択欄</t>
    <rPh sb="0" eb="2">
      <t>センタク</t>
    </rPh>
    <rPh sb="2" eb="3">
      <t>ラン</t>
    </rPh>
    <phoneticPr fontId="2"/>
  </si>
  <si>
    <t>処遇コース</t>
  </si>
  <si>
    <t>処遇コース変更を希望する理由</t>
  </si>
  <si>
    <t>グローバル職</t>
    <rPh sb="5" eb="6">
      <t>ショク</t>
    </rPh>
    <phoneticPr fontId="2"/>
  </si>
  <si>
    <t>ローカル職</t>
    <rPh sb="4" eb="5">
      <t>ショク</t>
    </rPh>
    <phoneticPr fontId="2"/>
  </si>
  <si>
    <t>②現在の職場からの異動を希望するか？</t>
    <rPh sb="1" eb="3">
      <t>ゲンザイ</t>
    </rPh>
    <rPh sb="4" eb="6">
      <t>ショクバ</t>
    </rPh>
    <rPh sb="9" eb="11">
      <t>イドウ</t>
    </rPh>
    <rPh sb="12" eb="14">
      <t>キボウ</t>
    </rPh>
    <phoneticPr fontId="2"/>
  </si>
  <si>
    <t>回　答</t>
    <rPh sb="0" eb="1">
      <t>カイ</t>
    </rPh>
    <rPh sb="2" eb="3">
      <t>コタエ</t>
    </rPh>
    <phoneticPr fontId="2"/>
  </si>
  <si>
    <t>希望する場合の理由と希望内容（業務、部署、勤務地 等）</t>
    <rPh sb="0" eb="2">
      <t>キボウ</t>
    </rPh>
    <rPh sb="4" eb="6">
      <t>バアイ</t>
    </rPh>
    <rPh sb="7" eb="9">
      <t>リユウ</t>
    </rPh>
    <rPh sb="10" eb="12">
      <t>キボウ</t>
    </rPh>
    <rPh sb="12" eb="14">
      <t>ナイヨウ</t>
    </rPh>
    <rPh sb="15" eb="17">
      <t>ギョウム</t>
    </rPh>
    <rPh sb="18" eb="20">
      <t>ブショ</t>
    </rPh>
    <rPh sb="21" eb="23">
      <t>キンム</t>
    </rPh>
    <rPh sb="23" eb="24">
      <t>チ</t>
    </rPh>
    <rPh sb="25" eb="26">
      <t>トウ</t>
    </rPh>
    <phoneticPr fontId="2"/>
  </si>
  <si>
    <t>人事異動に従う</t>
    <rPh sb="0" eb="2">
      <t>ジンジ</t>
    </rPh>
    <rPh sb="2" eb="4">
      <t>イドウ</t>
    </rPh>
    <rPh sb="5" eb="6">
      <t>シタガ</t>
    </rPh>
    <phoneticPr fontId="2"/>
  </si>
  <si>
    <t>現行処遇を継続したい</t>
    <rPh sb="0" eb="2">
      <t>ゲンコウ</t>
    </rPh>
    <rPh sb="2" eb="4">
      <t>ショグウ</t>
    </rPh>
    <rPh sb="5" eb="7">
      <t>ケイゾク</t>
    </rPh>
    <phoneticPr fontId="2"/>
  </si>
  <si>
    <t>希望する</t>
    <rPh sb="0" eb="2">
      <t>キボウ</t>
    </rPh>
    <phoneticPr fontId="2"/>
  </si>
  <si>
    <t>■下期記入欄</t>
    <rPh sb="1" eb="3">
      <t>シモキ</t>
    </rPh>
    <rPh sb="3" eb="5">
      <t>キニュウ</t>
    </rPh>
    <rPh sb="5" eb="6">
      <t>ラン</t>
    </rPh>
    <phoneticPr fontId="2"/>
  </si>
  <si>
    <t>人事評価シート</t>
    <rPh sb="0" eb="2">
      <t>ジンジ</t>
    </rPh>
    <rPh sb="2" eb="4">
      <t>ヒョウカ</t>
    </rPh>
    <phoneticPr fontId="2"/>
  </si>
  <si>
    <t>文書　　　番号</t>
    <rPh sb="0" eb="2">
      <t>ブンショ</t>
    </rPh>
    <rPh sb="5" eb="7">
      <t>バンゴウ</t>
    </rPh>
    <phoneticPr fontId="2"/>
  </si>
  <si>
    <t>SO-F3071</t>
    <phoneticPr fontId="2"/>
  </si>
  <si>
    <t>発行日</t>
    <rPh sb="0" eb="3">
      <t>ハッコウビ</t>
    </rPh>
    <phoneticPr fontId="2"/>
  </si>
  <si>
    <t>頁</t>
    <rPh sb="0" eb="1">
      <t>ページ</t>
    </rPh>
    <phoneticPr fontId="2"/>
  </si>
  <si>
    <t>1/1</t>
    <phoneticPr fontId="2"/>
  </si>
  <si>
    <t>変更改訂履歴</t>
    <rPh sb="0" eb="2">
      <t>ヘンコウ</t>
    </rPh>
    <rPh sb="2" eb="4">
      <t>カイテイ</t>
    </rPh>
    <rPh sb="4" eb="6">
      <t>リレキ</t>
    </rPh>
    <phoneticPr fontId="2"/>
  </si>
  <si>
    <t>Ver</t>
    <phoneticPr fontId="2"/>
  </si>
  <si>
    <t>変更改訂年月日</t>
    <rPh sb="0" eb="2">
      <t>ヘンコウ</t>
    </rPh>
    <rPh sb="2" eb="4">
      <t>カイテイ</t>
    </rPh>
    <rPh sb="4" eb="7">
      <t>ネンガッピ</t>
    </rPh>
    <phoneticPr fontId="2"/>
  </si>
  <si>
    <t>改訂・変更の理由及び内容</t>
    <rPh sb="0" eb="2">
      <t>カイテイ</t>
    </rPh>
    <rPh sb="3" eb="5">
      <t>ヘンコウ</t>
    </rPh>
    <rPh sb="6" eb="8">
      <t>リユウ</t>
    </rPh>
    <rPh sb="8" eb="9">
      <t>オヨ</t>
    </rPh>
    <rPh sb="10" eb="12">
      <t>ナイヨウ</t>
    </rPh>
    <phoneticPr fontId="2"/>
  </si>
  <si>
    <t>承　認</t>
    <rPh sb="0" eb="1">
      <t>ウケタマワ</t>
    </rPh>
    <rPh sb="2" eb="3">
      <t>ニン</t>
    </rPh>
    <phoneticPr fontId="2"/>
  </si>
  <si>
    <t>作　成</t>
    <rPh sb="0" eb="1">
      <t>サク</t>
    </rPh>
    <rPh sb="2" eb="3">
      <t>シゲル</t>
    </rPh>
    <phoneticPr fontId="2"/>
  </si>
  <si>
    <t>2020/4/2</t>
    <phoneticPr fontId="2"/>
  </si>
  <si>
    <t>初版</t>
    <rPh sb="0" eb="2">
      <t>ショハン</t>
    </rPh>
    <phoneticPr fontId="2"/>
  </si>
  <si>
    <t>北村</t>
    <rPh sb="0" eb="2">
      <t>キタムラ</t>
    </rPh>
    <phoneticPr fontId="2"/>
  </si>
  <si>
    <t>高橋（宏）</t>
    <rPh sb="0" eb="2">
      <t>タカハシ</t>
    </rPh>
    <rPh sb="3" eb="4">
      <t>ヒロ</t>
    </rPh>
    <phoneticPr fontId="2"/>
  </si>
  <si>
    <t>・業績評価シート
①「記入時の注意事項」を追記
②チャレンジ度の係数変更
③テーマ項目、達成目標、達成基準に
　 注意事項メモを追記</t>
    <rPh sb="1" eb="3">
      <t>ギョウセキ</t>
    </rPh>
    <rPh sb="3" eb="5">
      <t>ヒョウカ</t>
    </rPh>
    <rPh sb="11" eb="13">
      <t>キニュウ</t>
    </rPh>
    <rPh sb="13" eb="14">
      <t>ジ</t>
    </rPh>
    <rPh sb="15" eb="17">
      <t>チュウイ</t>
    </rPh>
    <rPh sb="17" eb="19">
      <t>ジコウ</t>
    </rPh>
    <rPh sb="21" eb="23">
      <t>ツイキ</t>
    </rPh>
    <rPh sb="30" eb="31">
      <t>ド</t>
    </rPh>
    <rPh sb="32" eb="34">
      <t>ケイスウ</t>
    </rPh>
    <rPh sb="34" eb="36">
      <t>ヘンコウ</t>
    </rPh>
    <rPh sb="41" eb="43">
      <t>コウモク</t>
    </rPh>
    <rPh sb="44" eb="46">
      <t>タッセイ</t>
    </rPh>
    <rPh sb="46" eb="48">
      <t>モクヒョウ</t>
    </rPh>
    <rPh sb="49" eb="51">
      <t>タッセイ</t>
    </rPh>
    <rPh sb="51" eb="53">
      <t>キジュン</t>
    </rPh>
    <rPh sb="57" eb="59">
      <t>チュウイ</t>
    </rPh>
    <rPh sb="59" eb="61">
      <t>ジコウ</t>
    </rPh>
    <rPh sb="64" eb="66">
      <t>ツイキ</t>
    </rPh>
    <phoneticPr fontId="2"/>
  </si>
  <si>
    <t>・38期新役職を追加
・ｼｰﾄ名を「管理職・AM」から「管理職・役職者」に変更</t>
    <rPh sb="3" eb="4">
      <t>キ</t>
    </rPh>
    <rPh sb="4" eb="7">
      <t>シンヤクショク</t>
    </rPh>
    <rPh sb="8" eb="10">
      <t>ツイカ</t>
    </rPh>
    <rPh sb="15" eb="16">
      <t>メイ</t>
    </rPh>
    <rPh sb="18" eb="21">
      <t>カンリショク</t>
    </rPh>
    <rPh sb="28" eb="31">
      <t>カンリショク</t>
    </rPh>
    <rPh sb="32" eb="35">
      <t>ヤクショクシャ</t>
    </rPh>
    <rPh sb="37" eb="39">
      <t>ヘンコウ</t>
    </rPh>
    <phoneticPr fontId="2"/>
  </si>
  <si>
    <t>・各評価シート右上の実施時期欄に「または
　日付・氏名入力」の文言を追記
　（直接入力も可能であることを示すため）
・各評価シート左下の評価コメント入力欄に
　「評価実施時に記入」の文言を追記
　（コメント入力漏れを防ぐため）</t>
    <rPh sb="1" eb="4">
      <t>カクヒョウカ</t>
    </rPh>
    <rPh sb="7" eb="9">
      <t>ミギウエ</t>
    </rPh>
    <rPh sb="10" eb="12">
      <t>ジッシ</t>
    </rPh>
    <rPh sb="12" eb="14">
      <t>ジキ</t>
    </rPh>
    <rPh sb="14" eb="15">
      <t>ラン</t>
    </rPh>
    <rPh sb="22" eb="24">
      <t>ヒヅケ</t>
    </rPh>
    <rPh sb="25" eb="27">
      <t>シメイ</t>
    </rPh>
    <rPh sb="27" eb="29">
      <t>ニュウリョク</t>
    </rPh>
    <rPh sb="31" eb="33">
      <t>モンゴン</t>
    </rPh>
    <rPh sb="34" eb="36">
      <t>ツイキ</t>
    </rPh>
    <rPh sb="39" eb="41">
      <t>チョクセツ</t>
    </rPh>
    <rPh sb="41" eb="43">
      <t>ニュウリョク</t>
    </rPh>
    <rPh sb="44" eb="46">
      <t>カノウ</t>
    </rPh>
    <rPh sb="52" eb="53">
      <t>シメ</t>
    </rPh>
    <rPh sb="59" eb="62">
      <t>カクヒョウカ</t>
    </rPh>
    <rPh sb="65" eb="67">
      <t>ヒダリシタ</t>
    </rPh>
    <rPh sb="68" eb="70">
      <t>ヒョウカ</t>
    </rPh>
    <rPh sb="74" eb="76">
      <t>ニュウリョク</t>
    </rPh>
    <rPh sb="76" eb="77">
      <t>ラン</t>
    </rPh>
    <rPh sb="81" eb="83">
      <t>ヒョウカ</t>
    </rPh>
    <rPh sb="83" eb="85">
      <t>ジッシ</t>
    </rPh>
    <rPh sb="85" eb="86">
      <t>ジ</t>
    </rPh>
    <rPh sb="87" eb="89">
      <t>キニュウ</t>
    </rPh>
    <rPh sb="91" eb="93">
      <t>モンゴン</t>
    </rPh>
    <rPh sb="94" eb="96">
      <t>ツイキ</t>
    </rPh>
    <rPh sb="103" eb="105">
      <t>ニュウリョク</t>
    </rPh>
    <rPh sb="105" eb="106">
      <t>モ</t>
    </rPh>
    <rPh sb="108" eb="109">
      <t>フセ</t>
    </rPh>
    <phoneticPr fontId="2"/>
  </si>
  <si>
    <t>10項目ｸﾞﾚｰﾄﾞ</t>
    <rPh sb="2" eb="4">
      <t>コウモク</t>
    </rPh>
    <phoneticPr fontId="2"/>
  </si>
  <si>
    <t>password:jinji</t>
    <phoneticPr fontId="2"/>
  </si>
  <si>
    <t>5項目ｸﾞﾚｰﾄﾞ</t>
    <rPh sb="1" eb="3">
      <t>コウモク</t>
    </rPh>
    <phoneticPr fontId="2"/>
  </si>
  <si>
    <t>グレード</t>
    <phoneticPr fontId="2"/>
  </si>
  <si>
    <t>再雇用</t>
    <rPh sb="0" eb="3">
      <t>サイコヨウ</t>
    </rPh>
    <phoneticPr fontId="2"/>
  </si>
  <si>
    <t>役職</t>
    <rPh sb="0" eb="2">
      <t>ヤクショク</t>
    </rPh>
    <phoneticPr fontId="2"/>
  </si>
  <si>
    <t>本部長</t>
    <rPh sb="0" eb="3">
      <t>ホンブチョウ</t>
    </rPh>
    <phoneticPr fontId="2"/>
  </si>
  <si>
    <t>区分</t>
    <rPh sb="0" eb="2">
      <t>クブン</t>
    </rPh>
    <phoneticPr fontId="2"/>
  </si>
  <si>
    <t>M/CE</t>
    <phoneticPr fontId="2"/>
  </si>
  <si>
    <t>職種</t>
    <rPh sb="0" eb="2">
      <t>ショクシュ</t>
    </rPh>
    <phoneticPr fontId="2"/>
  </si>
  <si>
    <t>製造/組立</t>
    <phoneticPr fontId="2"/>
  </si>
  <si>
    <t>回答</t>
    <rPh sb="0" eb="2">
      <t>カイトウ</t>
    </rPh>
    <phoneticPr fontId="2"/>
  </si>
  <si>
    <t>○</t>
    <phoneticPr fontId="2"/>
  </si>
  <si>
    <t>中期</t>
    <rPh sb="0" eb="2">
      <t>チュウキ</t>
    </rPh>
    <phoneticPr fontId="2"/>
  </si>
  <si>
    <t>M7</t>
    <phoneticPr fontId="2"/>
  </si>
  <si>
    <t>部長・副部長</t>
    <rPh sb="0" eb="2">
      <t>ブチョウ</t>
    </rPh>
    <rPh sb="3" eb="6">
      <t>フクブチョウ</t>
    </rPh>
    <phoneticPr fontId="2"/>
  </si>
  <si>
    <t>AM</t>
    <phoneticPr fontId="2"/>
  </si>
  <si>
    <t>資材/購買</t>
    <phoneticPr fontId="2"/>
  </si>
  <si>
    <t>－</t>
    <phoneticPr fontId="2"/>
  </si>
  <si>
    <t>M6</t>
    <phoneticPr fontId="2"/>
  </si>
  <si>
    <t>ヘッドエンジニア・主務</t>
    <rPh sb="9" eb="11">
      <t>シュム</t>
    </rPh>
    <phoneticPr fontId="2"/>
  </si>
  <si>
    <t>G/L</t>
    <phoneticPr fontId="2"/>
  </si>
  <si>
    <t>技術/設計</t>
    <phoneticPr fontId="2"/>
  </si>
  <si>
    <t>65</t>
    <phoneticPr fontId="2"/>
  </si>
  <si>
    <t>第65期～第67期</t>
    <rPh sb="0" eb="1">
      <t>ダイ</t>
    </rPh>
    <rPh sb="3" eb="4">
      <t>キ</t>
    </rPh>
    <rPh sb="5" eb="6">
      <t>ダイ</t>
    </rPh>
    <rPh sb="8" eb="9">
      <t>キ</t>
    </rPh>
    <phoneticPr fontId="2"/>
  </si>
  <si>
    <t>M5</t>
    <phoneticPr fontId="2"/>
  </si>
  <si>
    <t>シニアマイスター</t>
    <phoneticPr fontId="2"/>
  </si>
  <si>
    <t>営業</t>
    <phoneticPr fontId="2"/>
  </si>
  <si>
    <t>66</t>
  </si>
  <si>
    <t>第66期～第68期</t>
    <rPh sb="0" eb="1">
      <t>ダイ</t>
    </rPh>
    <rPh sb="3" eb="4">
      <t>キ</t>
    </rPh>
    <rPh sb="5" eb="6">
      <t>ダイ</t>
    </rPh>
    <rPh sb="8" eb="9">
      <t>キ</t>
    </rPh>
    <phoneticPr fontId="2"/>
  </si>
  <si>
    <t>M4</t>
    <phoneticPr fontId="2"/>
  </si>
  <si>
    <t>課長・課長代行</t>
    <rPh sb="0" eb="2">
      <t>カチョウ</t>
    </rPh>
    <rPh sb="3" eb="5">
      <t>カチョウ</t>
    </rPh>
    <rPh sb="5" eb="7">
      <t>ダイコウ</t>
    </rPh>
    <phoneticPr fontId="2"/>
  </si>
  <si>
    <t>品質保証</t>
    <phoneticPr fontId="2"/>
  </si>
  <si>
    <t>67</t>
  </si>
  <si>
    <t>第67期～第69期</t>
    <rPh sb="0" eb="1">
      <t>ダイ</t>
    </rPh>
    <rPh sb="3" eb="4">
      <t>キ</t>
    </rPh>
    <rPh sb="5" eb="6">
      <t>ダイ</t>
    </rPh>
    <rPh sb="8" eb="9">
      <t>キ</t>
    </rPh>
    <phoneticPr fontId="2"/>
  </si>
  <si>
    <t>M3</t>
    <phoneticPr fontId="2"/>
  </si>
  <si>
    <t>チーフエンジニア・主幹</t>
    <rPh sb="9" eb="11">
      <t>シュカン</t>
    </rPh>
    <phoneticPr fontId="2"/>
  </si>
  <si>
    <t>製造/技能</t>
    <phoneticPr fontId="2"/>
  </si>
  <si>
    <t>68</t>
  </si>
  <si>
    <t>第68期～第70期</t>
    <rPh sb="0" eb="1">
      <t>ダイ</t>
    </rPh>
    <rPh sb="3" eb="4">
      <t>キ</t>
    </rPh>
    <rPh sb="5" eb="6">
      <t>ダイ</t>
    </rPh>
    <rPh sb="8" eb="9">
      <t>キ</t>
    </rPh>
    <phoneticPr fontId="2"/>
  </si>
  <si>
    <t>M2</t>
    <phoneticPr fontId="2"/>
  </si>
  <si>
    <t>マイスター</t>
    <phoneticPr fontId="2"/>
  </si>
  <si>
    <t>研究開発</t>
    <phoneticPr fontId="2"/>
  </si>
  <si>
    <t>69</t>
  </si>
  <si>
    <t>第69期～第71期</t>
    <rPh sb="0" eb="1">
      <t>ダイ</t>
    </rPh>
    <rPh sb="3" eb="4">
      <t>キ</t>
    </rPh>
    <rPh sb="5" eb="6">
      <t>ダイ</t>
    </rPh>
    <rPh sb="8" eb="9">
      <t>キ</t>
    </rPh>
    <phoneticPr fontId="2"/>
  </si>
  <si>
    <t>M1</t>
    <phoneticPr fontId="2"/>
  </si>
  <si>
    <t>SPM・JPM</t>
    <phoneticPr fontId="2"/>
  </si>
  <si>
    <t>管理/企画</t>
    <phoneticPr fontId="2"/>
  </si>
  <si>
    <t>70</t>
  </si>
  <si>
    <t>第70期～第72期</t>
    <rPh sb="0" eb="1">
      <t>ダイ</t>
    </rPh>
    <rPh sb="3" eb="4">
      <t>キ</t>
    </rPh>
    <rPh sb="5" eb="6">
      <t>ダイ</t>
    </rPh>
    <rPh sb="8" eb="9">
      <t>キ</t>
    </rPh>
    <phoneticPr fontId="2"/>
  </si>
  <si>
    <t>ME4</t>
    <phoneticPr fontId="2"/>
  </si>
  <si>
    <t>SSP・SP</t>
    <phoneticPr fontId="2"/>
  </si>
  <si>
    <t>研究開発（デザイン）</t>
    <phoneticPr fontId="2"/>
  </si>
  <si>
    <t>71</t>
  </si>
  <si>
    <t>第71期～第73期</t>
    <rPh sb="0" eb="1">
      <t>ダイ</t>
    </rPh>
    <rPh sb="3" eb="4">
      <t>キ</t>
    </rPh>
    <rPh sb="5" eb="6">
      <t>ダイ</t>
    </rPh>
    <rPh sb="8" eb="9">
      <t>キ</t>
    </rPh>
    <phoneticPr fontId="2"/>
  </si>
  <si>
    <t>ME3</t>
    <phoneticPr fontId="2"/>
  </si>
  <si>
    <t>係長・TL</t>
    <phoneticPr fontId="2"/>
  </si>
  <si>
    <t>72</t>
  </si>
  <si>
    <t>第72期～第74期</t>
    <rPh sb="0" eb="1">
      <t>ダイ</t>
    </rPh>
    <rPh sb="3" eb="4">
      <t>キ</t>
    </rPh>
    <rPh sb="5" eb="6">
      <t>ダイ</t>
    </rPh>
    <rPh sb="8" eb="9">
      <t>キ</t>
    </rPh>
    <phoneticPr fontId="2"/>
  </si>
  <si>
    <t>ME2</t>
    <phoneticPr fontId="2"/>
  </si>
  <si>
    <t>スタッフエンジニア・主査</t>
    <phoneticPr fontId="2"/>
  </si>
  <si>
    <t>73</t>
  </si>
  <si>
    <t>第73期～第75期</t>
    <rPh sb="0" eb="1">
      <t>ダイ</t>
    </rPh>
    <rPh sb="3" eb="4">
      <t>キ</t>
    </rPh>
    <rPh sb="5" eb="6">
      <t>ダイ</t>
    </rPh>
    <rPh sb="8" eb="9">
      <t>キ</t>
    </rPh>
    <phoneticPr fontId="2"/>
  </si>
  <si>
    <t>ME1</t>
    <phoneticPr fontId="2"/>
  </si>
  <si>
    <t>一般職</t>
    <phoneticPr fontId="2"/>
  </si>
  <si>
    <t>評語</t>
    <rPh sb="0" eb="2">
      <t>ヒョウゴ</t>
    </rPh>
    <phoneticPr fontId="2"/>
  </si>
  <si>
    <t>74</t>
  </si>
  <si>
    <t>第74期～第76期</t>
    <rPh sb="0" eb="1">
      <t>ダイ</t>
    </rPh>
    <rPh sb="3" eb="4">
      <t>キ</t>
    </rPh>
    <rPh sb="5" eb="6">
      <t>ダイ</t>
    </rPh>
    <rPh sb="8" eb="9">
      <t>キ</t>
    </rPh>
    <phoneticPr fontId="2"/>
  </si>
  <si>
    <t>ME0</t>
    <phoneticPr fontId="2"/>
  </si>
  <si>
    <t>75</t>
  </si>
  <si>
    <t>第75期～第77期</t>
    <rPh sb="0" eb="1">
      <t>ダイ</t>
    </rPh>
    <rPh sb="3" eb="4">
      <t>キ</t>
    </rPh>
    <rPh sb="5" eb="6">
      <t>ダイ</t>
    </rPh>
    <rPh sb="8" eb="9">
      <t>キ</t>
    </rPh>
    <phoneticPr fontId="2"/>
  </si>
  <si>
    <t>CE4</t>
    <phoneticPr fontId="2"/>
  </si>
  <si>
    <t>76</t>
  </si>
  <si>
    <t>第76期～第78期</t>
    <rPh sb="0" eb="1">
      <t>ダイ</t>
    </rPh>
    <rPh sb="3" eb="4">
      <t>キ</t>
    </rPh>
    <rPh sb="5" eb="6">
      <t>ダイ</t>
    </rPh>
    <rPh sb="8" eb="9">
      <t>キ</t>
    </rPh>
    <phoneticPr fontId="2"/>
  </si>
  <si>
    <t>CE3</t>
    <phoneticPr fontId="2"/>
  </si>
  <si>
    <t>77</t>
  </si>
  <si>
    <t>第77期～第79期</t>
    <rPh sb="0" eb="1">
      <t>ダイ</t>
    </rPh>
    <rPh sb="3" eb="4">
      <t>キ</t>
    </rPh>
    <rPh sb="5" eb="6">
      <t>ダイ</t>
    </rPh>
    <rPh sb="8" eb="9">
      <t>キ</t>
    </rPh>
    <phoneticPr fontId="2"/>
  </si>
  <si>
    <t>CE2</t>
    <phoneticPr fontId="2"/>
  </si>
  <si>
    <t>評価対象判定</t>
    <rPh sb="0" eb="2">
      <t>ヒョウカ</t>
    </rPh>
    <rPh sb="2" eb="4">
      <t>タイショウ</t>
    </rPh>
    <rPh sb="4" eb="6">
      <t>ハンテイ</t>
    </rPh>
    <phoneticPr fontId="2"/>
  </si>
  <si>
    <t>(中途入社)評価対象期間における在籍期間が1/3未満</t>
    <rPh sb="1" eb="3">
      <t>チュウト</t>
    </rPh>
    <rPh sb="3" eb="5">
      <t>ニュウシャ</t>
    </rPh>
    <rPh sb="6" eb="8">
      <t>ヒョウカ</t>
    </rPh>
    <rPh sb="8" eb="10">
      <t>タイショウ</t>
    </rPh>
    <rPh sb="10" eb="12">
      <t>キカン</t>
    </rPh>
    <rPh sb="16" eb="18">
      <t>ザイセキ</t>
    </rPh>
    <rPh sb="18" eb="20">
      <t>キカン</t>
    </rPh>
    <rPh sb="24" eb="26">
      <t>ミマン</t>
    </rPh>
    <phoneticPr fontId="2"/>
  </si>
  <si>
    <t>78</t>
  </si>
  <si>
    <t>第78期～第80期</t>
    <rPh sb="0" eb="1">
      <t>ダイ</t>
    </rPh>
    <rPh sb="3" eb="4">
      <t>キ</t>
    </rPh>
    <rPh sb="5" eb="6">
      <t>ダイ</t>
    </rPh>
    <rPh sb="8" eb="9">
      <t>キ</t>
    </rPh>
    <phoneticPr fontId="2"/>
  </si>
  <si>
    <t>CE1</t>
    <phoneticPr fontId="2"/>
  </si>
  <si>
    <t>(出産休暇、育児・介護休業等による)評価対象期間における休暇日数および休業日数が2/3を超える</t>
    <phoneticPr fontId="2"/>
  </si>
  <si>
    <t>79</t>
  </si>
  <si>
    <t>第79期～第81期</t>
    <rPh sb="0" eb="1">
      <t>ダイ</t>
    </rPh>
    <rPh sb="3" eb="4">
      <t>キ</t>
    </rPh>
    <rPh sb="5" eb="6">
      <t>ダイ</t>
    </rPh>
    <rPh sb="8" eb="9">
      <t>キ</t>
    </rPh>
    <phoneticPr fontId="2"/>
  </si>
  <si>
    <t>CE0</t>
    <phoneticPr fontId="2"/>
  </si>
  <si>
    <t>(私傷病等による)評価対象期間における欠勤日数（病気欠勤を含む）および休職日数が2/3を超える</t>
    <rPh sb="1" eb="3">
      <t>シショウ</t>
    </rPh>
    <rPh sb="3" eb="4">
      <t>ビョウ</t>
    </rPh>
    <rPh sb="4" eb="5">
      <t>トウ</t>
    </rPh>
    <rPh sb="9" eb="11">
      <t>ヒョウカ</t>
    </rPh>
    <rPh sb="11" eb="13">
      <t>タイショウ</t>
    </rPh>
    <rPh sb="13" eb="15">
      <t>キカン</t>
    </rPh>
    <rPh sb="19" eb="21">
      <t>ケッキン</t>
    </rPh>
    <rPh sb="21" eb="23">
      <t>ニッスウ</t>
    </rPh>
    <rPh sb="24" eb="26">
      <t>ビョウキ</t>
    </rPh>
    <rPh sb="26" eb="28">
      <t>ケッキン</t>
    </rPh>
    <rPh sb="29" eb="30">
      <t>フク</t>
    </rPh>
    <rPh sb="35" eb="37">
      <t>キュウショク</t>
    </rPh>
    <rPh sb="37" eb="39">
      <t>ニッスウ</t>
    </rPh>
    <rPh sb="44" eb="45">
      <t>コ</t>
    </rPh>
    <phoneticPr fontId="2"/>
  </si>
  <si>
    <t>80</t>
  </si>
  <si>
    <t>第80期～第82期</t>
    <rPh sb="0" eb="1">
      <t>ダイ</t>
    </rPh>
    <rPh sb="3" eb="4">
      <t>キ</t>
    </rPh>
    <rPh sb="5" eb="6">
      <t>ダイ</t>
    </rPh>
    <rPh sb="8" eb="9">
      <t>キ</t>
    </rPh>
    <phoneticPr fontId="2"/>
  </si>
  <si>
    <t>G6</t>
    <phoneticPr fontId="2"/>
  </si>
  <si>
    <t>評価対象外理由なし</t>
    <rPh sb="0" eb="2">
      <t>ヒョウカ</t>
    </rPh>
    <rPh sb="2" eb="5">
      <t>タイショウガイ</t>
    </rPh>
    <rPh sb="5" eb="7">
      <t>リユウ</t>
    </rPh>
    <phoneticPr fontId="2"/>
  </si>
  <si>
    <t>81</t>
  </si>
  <si>
    <t>第81期～第83期</t>
    <rPh sb="0" eb="1">
      <t>ダイ</t>
    </rPh>
    <rPh sb="3" eb="4">
      <t>キ</t>
    </rPh>
    <rPh sb="5" eb="6">
      <t>ダイ</t>
    </rPh>
    <rPh sb="8" eb="9">
      <t>キ</t>
    </rPh>
    <phoneticPr fontId="2"/>
  </si>
  <si>
    <t>G5</t>
    <phoneticPr fontId="2"/>
  </si>
  <si>
    <t>82</t>
  </si>
  <si>
    <t>第82期～第84期</t>
    <rPh sb="0" eb="1">
      <t>ダイ</t>
    </rPh>
    <rPh sb="3" eb="4">
      <t>キ</t>
    </rPh>
    <rPh sb="5" eb="6">
      <t>ダイ</t>
    </rPh>
    <rPh sb="8" eb="9">
      <t>キ</t>
    </rPh>
    <phoneticPr fontId="2"/>
  </si>
  <si>
    <t>G4</t>
    <phoneticPr fontId="2"/>
  </si>
  <si>
    <t>83</t>
  </si>
  <si>
    <t>第83期～第85期</t>
    <rPh sb="0" eb="1">
      <t>ダイ</t>
    </rPh>
    <rPh sb="3" eb="4">
      <t>キ</t>
    </rPh>
    <rPh sb="5" eb="6">
      <t>ダイ</t>
    </rPh>
    <rPh sb="8" eb="9">
      <t>キ</t>
    </rPh>
    <phoneticPr fontId="2"/>
  </si>
  <si>
    <t>G3</t>
    <phoneticPr fontId="2"/>
  </si>
  <si>
    <t>84</t>
  </si>
  <si>
    <t>第84期～第86期</t>
    <rPh sb="0" eb="1">
      <t>ダイ</t>
    </rPh>
    <rPh sb="3" eb="4">
      <t>キ</t>
    </rPh>
    <rPh sb="5" eb="6">
      <t>ダイ</t>
    </rPh>
    <rPh sb="8" eb="9">
      <t>キ</t>
    </rPh>
    <phoneticPr fontId="2"/>
  </si>
  <si>
    <t>G2</t>
    <phoneticPr fontId="2"/>
  </si>
  <si>
    <t>チャレンジ度</t>
    <rPh sb="5" eb="6">
      <t>ド</t>
    </rPh>
    <phoneticPr fontId="2"/>
  </si>
  <si>
    <t>85</t>
  </si>
  <si>
    <t>第85期～第87期</t>
    <rPh sb="0" eb="1">
      <t>ダイ</t>
    </rPh>
    <rPh sb="3" eb="4">
      <t>キ</t>
    </rPh>
    <rPh sb="5" eb="6">
      <t>ダイ</t>
    </rPh>
    <rPh sb="8" eb="9">
      <t>キ</t>
    </rPh>
    <phoneticPr fontId="2"/>
  </si>
  <si>
    <t>G1</t>
    <phoneticPr fontId="2"/>
  </si>
  <si>
    <t>86</t>
  </si>
  <si>
    <t>第86期～第88期</t>
    <rPh sb="0" eb="1">
      <t>ダイ</t>
    </rPh>
    <rPh sb="3" eb="4">
      <t>キ</t>
    </rPh>
    <rPh sb="5" eb="6">
      <t>ダイ</t>
    </rPh>
    <rPh sb="8" eb="9">
      <t>キ</t>
    </rPh>
    <phoneticPr fontId="2"/>
  </si>
  <si>
    <t>G0</t>
    <phoneticPr fontId="2"/>
  </si>
  <si>
    <t>87</t>
  </si>
  <si>
    <t>第87期～第89期</t>
    <rPh sb="0" eb="1">
      <t>ダイ</t>
    </rPh>
    <rPh sb="3" eb="4">
      <t>キ</t>
    </rPh>
    <rPh sb="5" eb="6">
      <t>ダイ</t>
    </rPh>
    <rPh sb="8" eb="9">
      <t>キ</t>
    </rPh>
    <phoneticPr fontId="2"/>
  </si>
  <si>
    <t>L6</t>
    <phoneticPr fontId="2"/>
  </si>
  <si>
    <t>88</t>
  </si>
  <si>
    <t>第88期～第90期</t>
    <rPh sb="0" eb="1">
      <t>ダイ</t>
    </rPh>
    <rPh sb="3" eb="4">
      <t>キ</t>
    </rPh>
    <rPh sb="5" eb="6">
      <t>ダイ</t>
    </rPh>
    <rPh sb="8" eb="9">
      <t>キ</t>
    </rPh>
    <phoneticPr fontId="2"/>
  </si>
  <si>
    <t>L5</t>
    <phoneticPr fontId="2"/>
  </si>
  <si>
    <t>89</t>
  </si>
  <si>
    <t>第89期～第91期</t>
    <rPh sb="0" eb="1">
      <t>ダイ</t>
    </rPh>
    <rPh sb="3" eb="4">
      <t>キ</t>
    </rPh>
    <rPh sb="5" eb="6">
      <t>ダイ</t>
    </rPh>
    <rPh sb="8" eb="9">
      <t>キ</t>
    </rPh>
    <phoneticPr fontId="2"/>
  </si>
  <si>
    <t>L4</t>
    <phoneticPr fontId="2"/>
  </si>
  <si>
    <t>加点・減点</t>
    <rPh sb="0" eb="2">
      <t>カテン</t>
    </rPh>
    <rPh sb="3" eb="5">
      <t>ゲンテン</t>
    </rPh>
    <phoneticPr fontId="2"/>
  </si>
  <si>
    <t>90</t>
  </si>
  <si>
    <t>第90期～第92期</t>
    <rPh sb="0" eb="1">
      <t>ダイ</t>
    </rPh>
    <rPh sb="3" eb="4">
      <t>キ</t>
    </rPh>
    <rPh sb="5" eb="6">
      <t>ダイ</t>
    </rPh>
    <rPh sb="8" eb="9">
      <t>キ</t>
    </rPh>
    <phoneticPr fontId="2"/>
  </si>
  <si>
    <t>L3</t>
    <phoneticPr fontId="2"/>
  </si>
  <si>
    <t>91</t>
  </si>
  <si>
    <t>第91期～第93期</t>
    <rPh sb="0" eb="1">
      <t>ダイ</t>
    </rPh>
    <rPh sb="3" eb="4">
      <t>キ</t>
    </rPh>
    <rPh sb="5" eb="6">
      <t>ダイ</t>
    </rPh>
    <rPh sb="8" eb="9">
      <t>キ</t>
    </rPh>
    <phoneticPr fontId="2"/>
  </si>
  <si>
    <t>L2</t>
    <phoneticPr fontId="2"/>
  </si>
  <si>
    <t>92</t>
  </si>
  <si>
    <t>第92期～第94期</t>
    <rPh sb="0" eb="1">
      <t>ダイ</t>
    </rPh>
    <rPh sb="3" eb="4">
      <t>キ</t>
    </rPh>
    <rPh sb="5" eb="6">
      <t>ダイ</t>
    </rPh>
    <rPh sb="8" eb="9">
      <t>キ</t>
    </rPh>
    <phoneticPr fontId="2"/>
  </si>
  <si>
    <t>L1</t>
    <phoneticPr fontId="2"/>
  </si>
  <si>
    <t>93</t>
  </si>
  <si>
    <t>第93期～第95期</t>
    <rPh sb="0" eb="1">
      <t>ダイ</t>
    </rPh>
    <rPh sb="3" eb="4">
      <t>キ</t>
    </rPh>
    <rPh sb="5" eb="6">
      <t>ダイ</t>
    </rPh>
    <rPh sb="8" eb="9">
      <t>キ</t>
    </rPh>
    <phoneticPr fontId="2"/>
  </si>
  <si>
    <t>L0</t>
    <phoneticPr fontId="2"/>
  </si>
  <si>
    <t>B-</t>
    <phoneticPr fontId="2"/>
  </si>
  <si>
    <t>94</t>
  </si>
  <si>
    <t>第94期～第96期</t>
    <rPh sb="0" eb="1">
      <t>ダイ</t>
    </rPh>
    <rPh sb="3" eb="4">
      <t>キ</t>
    </rPh>
    <rPh sb="5" eb="6">
      <t>ダイ</t>
    </rPh>
    <rPh sb="8" eb="9">
      <t>キ</t>
    </rPh>
    <phoneticPr fontId="2"/>
  </si>
  <si>
    <t>契約</t>
    <rPh sb="0" eb="2">
      <t>ケイヤク</t>
    </rPh>
    <phoneticPr fontId="2"/>
  </si>
  <si>
    <t>95</t>
  </si>
  <si>
    <t>第95期～第97期</t>
    <rPh sb="0" eb="1">
      <t>ダイ</t>
    </rPh>
    <rPh sb="3" eb="4">
      <t>キ</t>
    </rPh>
    <rPh sb="5" eb="6">
      <t>ダイ</t>
    </rPh>
    <rPh sb="8" eb="9">
      <t>キ</t>
    </rPh>
    <phoneticPr fontId="2"/>
  </si>
  <si>
    <t>96</t>
  </si>
  <si>
    <t>第96期～第98期</t>
    <rPh sb="0" eb="1">
      <t>ダイ</t>
    </rPh>
    <rPh sb="3" eb="4">
      <t>キ</t>
    </rPh>
    <rPh sb="5" eb="6">
      <t>ダイ</t>
    </rPh>
    <rPh sb="8" eb="9">
      <t>キ</t>
    </rPh>
    <phoneticPr fontId="2"/>
  </si>
  <si>
    <t>97</t>
  </si>
  <si>
    <t>第97期～第99期</t>
    <rPh sb="0" eb="1">
      <t>ダイ</t>
    </rPh>
    <rPh sb="3" eb="4">
      <t>キ</t>
    </rPh>
    <rPh sb="5" eb="6">
      <t>ダイ</t>
    </rPh>
    <rPh sb="8" eb="9">
      <t>キ</t>
    </rPh>
    <phoneticPr fontId="2"/>
  </si>
  <si>
    <t>98</t>
  </si>
  <si>
    <t>第98期～第100期</t>
    <rPh sb="0" eb="1">
      <t>ダイ</t>
    </rPh>
    <rPh sb="3" eb="4">
      <t>キ</t>
    </rPh>
    <rPh sb="5" eb="6">
      <t>ダイ</t>
    </rPh>
    <rPh sb="9" eb="10">
      <t>キ</t>
    </rPh>
    <phoneticPr fontId="2"/>
  </si>
  <si>
    <t>99</t>
  </si>
  <si>
    <t>第99期～第101期</t>
    <rPh sb="0" eb="1">
      <t>ダイ</t>
    </rPh>
    <rPh sb="3" eb="4">
      <t>キ</t>
    </rPh>
    <rPh sb="5" eb="6">
      <t>ダイ</t>
    </rPh>
    <rPh sb="9" eb="10">
      <t>キ</t>
    </rPh>
    <phoneticPr fontId="2"/>
  </si>
  <si>
    <t>100</t>
  </si>
  <si>
    <t>第100期～第102期</t>
    <rPh sb="0" eb="1">
      <t>ダイ</t>
    </rPh>
    <rPh sb="4" eb="5">
      <t>キ</t>
    </rPh>
    <rPh sb="6" eb="7">
      <t>ダイ</t>
    </rPh>
    <rPh sb="10" eb="11">
      <t>キ</t>
    </rPh>
    <phoneticPr fontId="2"/>
  </si>
  <si>
    <t>B+</t>
    <phoneticPr fontId="2"/>
  </si>
  <si>
    <t>EMB本部 第1EMBSOL部 開発第1課</t>
    <phoneticPr fontId="2"/>
  </si>
  <si>
    <t>中村　洋太</t>
    <phoneticPr fontId="2"/>
  </si>
  <si>
    <t>G4</t>
  </si>
  <si>
    <t>係長・TL</t>
  </si>
  <si>
    <t>既存領域(アイシン - 開発環境)拡大に向けた体制強化
 1) ランクアップ
 2) サブリーダー育成</t>
    <phoneticPr fontId="2"/>
  </si>
  <si>
    <t>自動化・効率化の推進</t>
    <phoneticPr fontId="2"/>
  </si>
  <si>
    <t>【人材育成】
既存領域(アイシン - 開発環境)拡大に向けた体制強化
 1) ランクアップ
 2) サブリーダー育成
【品質】
自動化・効率化の推進</t>
    <rPh sb="1" eb="5">
      <t>ジンザイイクセイ</t>
    </rPh>
    <rPh sb="61" eb="63">
      <t>ヒンシツ</t>
    </rPh>
    <phoneticPr fontId="2"/>
  </si>
  <si>
    <t>B</t>
  </si>
  <si>
    <t>設計補助業務の効率化</t>
    <rPh sb="0" eb="4">
      <t>セッケイホジョ</t>
    </rPh>
    <rPh sb="4" eb="6">
      <t>ギョウム</t>
    </rPh>
    <rPh sb="7" eb="10">
      <t>コウリツカ</t>
    </rPh>
    <phoneticPr fontId="2"/>
  </si>
  <si>
    <t xml:space="preserve"> 2：</t>
    <phoneticPr fontId="2"/>
  </si>
  <si>
    <t xml:space="preserve"> 4：</t>
    <phoneticPr fontId="2"/>
  </si>
  <si>
    <r>
      <t>EMB</t>
    </r>
    <r>
      <rPr>
        <sz val="12"/>
        <color rgb="FF000000"/>
        <rFont val="ＭＳ Ｐゴシック"/>
        <family val="2"/>
        <charset val="128"/>
      </rPr>
      <t>本部</t>
    </r>
    <r>
      <rPr>
        <sz val="12"/>
        <color rgb="FF000000"/>
        <rFont val="Arial"/>
        <family val="2"/>
      </rPr>
      <t xml:space="preserve"> </t>
    </r>
    <r>
      <rPr>
        <sz val="12"/>
        <color rgb="FF000000"/>
        <rFont val="ＭＳ Ｐゴシック"/>
        <family val="2"/>
        <charset val="128"/>
      </rPr>
      <t>第</t>
    </r>
    <r>
      <rPr>
        <sz val="12"/>
        <color rgb="FF000000"/>
        <rFont val="Arial"/>
        <family val="2"/>
      </rPr>
      <t>1EMBSOL</t>
    </r>
    <r>
      <rPr>
        <sz val="12"/>
        <color rgb="FF000000"/>
        <rFont val="ＭＳ Ｐゴシック"/>
        <family val="2"/>
        <charset val="128"/>
      </rPr>
      <t>部</t>
    </r>
    <r>
      <rPr>
        <sz val="12"/>
        <color rgb="FF000000"/>
        <rFont val="Arial"/>
        <family val="2"/>
      </rPr>
      <t xml:space="preserve"> </t>
    </r>
    <r>
      <rPr>
        <sz val="12"/>
        <color rgb="FF000000"/>
        <rFont val="ＭＳ Ｐゴシック"/>
        <family val="2"/>
        <charset val="128"/>
      </rPr>
      <t>開発第</t>
    </r>
    <r>
      <rPr>
        <sz val="12"/>
        <color rgb="FF000000"/>
        <rFont val="Arial"/>
        <family val="2"/>
      </rPr>
      <t>1</t>
    </r>
    <r>
      <rPr>
        <sz val="12"/>
        <color rgb="FF000000"/>
        <rFont val="ＭＳ Ｐゴシック"/>
        <family val="2"/>
        <charset val="128"/>
      </rPr>
      <t>課</t>
    </r>
    <phoneticPr fontId="33"/>
  </si>
  <si>
    <t>中村　洋太</t>
    <phoneticPr fontId="33"/>
  </si>
  <si>
    <t>2024年</t>
    <rPh sb="4" eb="5">
      <t>ネン</t>
    </rPh>
    <phoneticPr fontId="35"/>
  </si>
  <si>
    <t>5月</t>
    <rPh sb="1" eb="2">
      <t>ガツ</t>
    </rPh>
    <phoneticPr fontId="35"/>
  </si>
  <si>
    <t>7日</t>
    <rPh sb="1" eb="2">
      <t>ヒ</t>
    </rPh>
    <phoneticPr fontId="35"/>
  </si>
  <si>
    <t>CAN勉強会実施</t>
    <rPh sb="3" eb="5">
      <t>ベンキョウ</t>
    </rPh>
    <rPh sb="5" eb="6">
      <t>カイ</t>
    </rPh>
    <rPh sb="6" eb="8">
      <t>ジッシ</t>
    </rPh>
    <phoneticPr fontId="2"/>
  </si>
  <si>
    <t>リーダー業務担当可能</t>
    <rPh sb="4" eb="6">
      <t>ギョウム</t>
    </rPh>
    <rPh sb="6" eb="10">
      <t>タントウカノウ</t>
    </rPh>
    <phoneticPr fontId="2"/>
  </si>
  <si>
    <t>メンバーランクアップ or サブリーダー任命 + リーダー業務担当可能</t>
    <rPh sb="20" eb="22">
      <t>ニンメイ</t>
    </rPh>
    <phoneticPr fontId="2"/>
  </si>
  <si>
    <t>メンバーランクアップ + サブリーダー任命 + リーダー業務担当可能</t>
    <rPh sb="19" eb="21">
      <t>ニンメイ</t>
    </rPh>
    <phoneticPr fontId="2"/>
  </si>
  <si>
    <t>リーダー業務担当可能（フォローあり）</t>
    <phoneticPr fontId="2"/>
  </si>
  <si>
    <t xml:space="preserve">BODYプロジェクトで運用開始 + </t>
    <rPh sb="11" eb="15">
      <t>ウンヨウカイシ</t>
    </rPh>
    <phoneticPr fontId="2"/>
  </si>
  <si>
    <t>PT/BODYプロジェクトで運用開始</t>
    <rPh sb="14" eb="18">
      <t>ウンヨウカイシ</t>
    </rPh>
    <phoneticPr fontId="2"/>
  </si>
  <si>
    <t>設計補助工数5%削減</t>
  </si>
  <si>
    <t>設計補助工数2.5%削減</t>
  </si>
  <si>
    <t>ツール2機能作成完了</t>
    <rPh sb="4" eb="6">
      <t>キノウ</t>
    </rPh>
    <rPh sb="6" eb="10">
      <t>サクセイカンリョウ</t>
    </rPh>
    <phoneticPr fontId="2"/>
  </si>
  <si>
    <t>ツール1機能作成完了</t>
    <rPh sb="4" eb="6">
      <t>キノウ</t>
    </rPh>
    <rPh sb="6" eb="10">
      <t>サクセイカンリョウ</t>
    </rPh>
    <phoneticPr fontId="2"/>
  </si>
  <si>
    <t>ツール1機能作成未完了</t>
    <rPh sb="4" eb="6">
      <t>キノウ</t>
    </rPh>
    <rPh sb="6" eb="8">
      <t>サクセイ</t>
    </rPh>
    <rPh sb="8" eb="9">
      <t>ミ</t>
    </rPh>
    <rPh sb="9" eb="11">
      <t>カンリョウ</t>
    </rPh>
    <phoneticPr fontId="2"/>
  </si>
  <si>
    <t>該当設計補助業務の工数50%削減
（自動化前の実績工数と比較）</t>
    <rPh sb="0" eb="2">
      <t>ガイトウ</t>
    </rPh>
    <rPh sb="2" eb="4">
      <t>セッケイ</t>
    </rPh>
    <rPh sb="4" eb="6">
      <t>ホジョ</t>
    </rPh>
    <rPh sb="6" eb="8">
      <t>ギョウム</t>
    </rPh>
    <rPh sb="9" eb="11">
      <t>コウスウ</t>
    </rPh>
    <rPh sb="14" eb="16">
      <t>サクゲン</t>
    </rPh>
    <rPh sb="18" eb="22">
      <t>ジドウカマエ</t>
    </rPh>
    <rPh sb="23" eb="25">
      <t>ジッセキ</t>
    </rPh>
    <rPh sb="25" eb="27">
      <t>コウスウ</t>
    </rPh>
    <rPh sb="28" eb="30">
      <t>ヒカク</t>
    </rPh>
    <phoneticPr fontId="2"/>
  </si>
  <si>
    <t>設計補助工数50%削減 + メンバーの負荷状況可視化</t>
    <phoneticPr fontId="2"/>
  </si>
  <si>
    <t>設計補助工数25%削減 + メンバーの負荷状況可視化</t>
    <phoneticPr fontId="2"/>
  </si>
  <si>
    <t>ツールによる自動化完了 + メンバーの負荷状況可視化</t>
    <rPh sb="6" eb="9">
      <t>ジドウカ</t>
    </rPh>
    <rPh sb="9" eb="11">
      <t>カンリョウ</t>
    </rPh>
    <phoneticPr fontId="2"/>
  </si>
  <si>
    <t>ツールによる自動化完了 or メンバーの負荷状況可視化</t>
    <rPh sb="6" eb="9">
      <t>ジドウカ</t>
    </rPh>
    <rPh sb="9" eb="11">
      <t>カンリョウ</t>
    </rPh>
    <phoneticPr fontId="2"/>
  </si>
  <si>
    <t>CAN勉強会テーマ選定</t>
    <rPh sb="3" eb="5">
      <t>ベンキョウ</t>
    </rPh>
    <rPh sb="5" eb="6">
      <t>カイ</t>
    </rPh>
    <rPh sb="9" eb="11">
      <t>センテイ</t>
    </rPh>
    <phoneticPr fontId="2"/>
  </si>
  <si>
    <t>月末月初処理/週次で作成している実績工数/残業時間の算出を自動化する。
（SMR予実工数監視ツールにメンバー単位の工数情報出力機能を追加し、SMR/メンバーの負荷状況を可視化することも検討。）</t>
    <rPh sb="0" eb="4">
      <t>ゲツマツゲッショ</t>
    </rPh>
    <rPh sb="4" eb="6">
      <t>ショリ</t>
    </rPh>
    <rPh sb="7" eb="9">
      <t>シュウジ</t>
    </rPh>
    <rPh sb="10" eb="12">
      <t>サクセイ</t>
    </rPh>
    <rPh sb="16" eb="20">
      <t>ジッセキコウスウ</t>
    </rPh>
    <rPh sb="21" eb="25">
      <t>ザンギョウジカン</t>
    </rPh>
    <rPh sb="26" eb="28">
      <t>サンシュツ</t>
    </rPh>
    <rPh sb="29" eb="32">
      <t>ジドウカ</t>
    </rPh>
    <rPh sb="54" eb="56">
      <t>タンイ</t>
    </rPh>
    <rPh sb="57" eb="61">
      <t>コウスウジョウホウ</t>
    </rPh>
    <rPh sb="61" eb="63">
      <t>シュツリョク</t>
    </rPh>
    <rPh sb="63" eb="65">
      <t>キノウ</t>
    </rPh>
    <rPh sb="66" eb="68">
      <t>ツイカ</t>
    </rPh>
    <rPh sb="79" eb="83">
      <t>フカジョウキョウ</t>
    </rPh>
    <rPh sb="84" eb="87">
      <t>カシカ</t>
    </rPh>
    <rPh sb="92" eb="94">
      <t>ケントウ</t>
    </rPh>
    <phoneticPr fontId="2"/>
  </si>
  <si>
    <t>生産性向上</t>
    <rPh sb="0" eb="5">
      <t>セイサンセイコウジョウ</t>
    </rPh>
    <phoneticPr fontId="2"/>
  </si>
  <si>
    <t>追加見積もり漏れ0件
予実工数120%超過SMR0件</t>
    <rPh sb="11" eb="15">
      <t>ヨジツコウスウ</t>
    </rPh>
    <rPh sb="19" eb="21">
      <t>チョウカ</t>
    </rPh>
    <rPh sb="25" eb="26">
      <t>ケン</t>
    </rPh>
    <phoneticPr fontId="2"/>
  </si>
  <si>
    <t>GHSコンパイラ対応完了</t>
    <rPh sb="8" eb="10">
      <t>タイオウ</t>
    </rPh>
    <rPh sb="10" eb="12">
      <t>カンリョウ</t>
    </rPh>
    <phoneticPr fontId="2"/>
  </si>
  <si>
    <t>GHS以外のコンパイラ対応完了</t>
    <rPh sb="3" eb="5">
      <t>イガイ</t>
    </rPh>
    <rPh sb="11" eb="13">
      <t>タイオウ</t>
    </rPh>
    <rPh sb="13" eb="15">
      <t>カンリョウ</t>
    </rPh>
    <phoneticPr fontId="2"/>
  </si>
  <si>
    <t>メンバー1名ランクアップ/サブリーダー任命
スキルアップ（CAN/UML）</t>
    <rPh sb="5" eb="6">
      <t>メイ</t>
    </rPh>
    <rPh sb="19" eb="21">
      <t>ニンメイ</t>
    </rPh>
    <phoneticPr fontId="2"/>
  </si>
  <si>
    <t>リーダー業務担当可能 + CAN/UMLスキルアップ</t>
    <rPh sb="4" eb="6">
      <t>ギョウム</t>
    </rPh>
    <rPh sb="6" eb="10">
      <t>タントウカノウ</t>
    </rPh>
    <phoneticPr fontId="2"/>
  </si>
  <si>
    <t>リーダー業務担当可能（フォローあり） + CAN/UMLスキルアップ</t>
    <phoneticPr fontId="2"/>
  </si>
  <si>
    <t>CAN/UMLスキルアップ</t>
    <phoneticPr fontId="2"/>
  </si>
  <si>
    <t xml:space="preserve">(1)見積に対する実績工数100%以内
(2)量産不具合0件
(3)不具合率5%以下
AISINの標準ツールとして採用
メモリマップ設定ミスによる不具合0件
</t>
    <rPh sb="50" eb="52">
      <t>ヒョウジュン</t>
    </rPh>
    <rPh sb="58" eb="60">
      <t>サイヨウ</t>
    </rPh>
    <rPh sb="74" eb="77">
      <t>フグアイ</t>
    </rPh>
    <phoneticPr fontId="2"/>
  </si>
  <si>
    <t>①汎用メモリマップ生成ツール
Excel形式のメモリマップ定義表からldファイルを自動生成する。
※多種多様なコンパイラに順次対応する。
②メモリ使用量算出/デフォルトセクションチェックツールをレベルアップし、ROM/RAM単位だけでなく、統合ECUを考慮しAPL機能種別に使用量を算出可能なようレベルアップする。</t>
    <rPh sb="1" eb="3">
      <t>ハンヨウ</t>
    </rPh>
    <rPh sb="9" eb="11">
      <t>セイセイ</t>
    </rPh>
    <rPh sb="50" eb="54">
      <t>タシュタヨウ</t>
    </rPh>
    <rPh sb="61" eb="65">
      <t>ジュンジタイオウ</t>
    </rPh>
    <rPh sb="74" eb="79">
      <t>シヨウリョウサンシュツ</t>
    </rPh>
    <rPh sb="113" eb="115">
      <t>タンイ</t>
    </rPh>
    <rPh sb="121" eb="123">
      <t>トウゴウ</t>
    </rPh>
    <rPh sb="127" eb="129">
      <t>コウリョ</t>
    </rPh>
    <rPh sb="133" eb="137">
      <t>キノウシュベツ</t>
    </rPh>
    <rPh sb="142" eb="146">
      <t>サンシュツカノウ</t>
    </rPh>
    <phoneticPr fontId="2"/>
  </si>
  <si>
    <t>①ランクアップ/サブリーダー任命
リーダー業務（チケット課題管理/案件の課題バラシ/SMR外SMR管理）を担当させる。
②スキルアップ
社内のCAN関連資料/仕様書をもとにビットアサイン演習を通じてソフト構造の理解を深める。併せてUML図の学習を行うことで、仕様/ソフト構造の理解も深める。</t>
    <rPh sb="21" eb="23">
      <t>ギョウム</t>
    </rPh>
    <rPh sb="28" eb="30">
      <t>カダイ</t>
    </rPh>
    <rPh sb="30" eb="32">
      <t>カンリ</t>
    </rPh>
    <rPh sb="33" eb="35">
      <t>アンケン</t>
    </rPh>
    <rPh sb="36" eb="38">
      <t>カダイ</t>
    </rPh>
    <rPh sb="45" eb="46">
      <t>ガイ</t>
    </rPh>
    <rPh sb="49" eb="51">
      <t>カンリ</t>
    </rPh>
    <rPh sb="53" eb="55">
      <t>タントウ</t>
    </rPh>
    <rPh sb="69" eb="71">
      <t>シャナイ</t>
    </rPh>
    <rPh sb="70" eb="71">
      <t>ナイ</t>
    </rPh>
    <rPh sb="75" eb="77">
      <t>カンレン</t>
    </rPh>
    <rPh sb="77" eb="79">
      <t>シリョウ</t>
    </rPh>
    <rPh sb="80" eb="83">
      <t>シヨウショ</t>
    </rPh>
    <rPh sb="94" eb="96">
      <t>エンシュウ</t>
    </rPh>
    <rPh sb="97" eb="98">
      <t>ツウ</t>
    </rPh>
    <rPh sb="103" eb="105">
      <t>コウゾウ</t>
    </rPh>
    <rPh sb="106" eb="108">
      <t>リカイ</t>
    </rPh>
    <rPh sb="109" eb="110">
      <t>フカ</t>
    </rPh>
    <rPh sb="119" eb="120">
      <t>ズ</t>
    </rPh>
    <rPh sb="121" eb="123">
      <t>ガクシュウ</t>
    </rPh>
    <rPh sb="124" eb="125">
      <t>オコナ</t>
    </rPh>
    <rPh sb="139" eb="141">
      <t>リカイ</t>
    </rPh>
    <rPh sb="142" eb="143">
      <t>フカ</t>
    </rPh>
    <phoneticPr fontId="2"/>
  </si>
  <si>
    <t>DailyでのSMR予実工数監視を徹底するようフォローする。
現状のツールの改善点を挙げ出し、
SMR予実工数監視ツールをレベルアップする。</t>
    <rPh sb="17" eb="19">
      <t>テッテイ</t>
    </rPh>
    <rPh sb="31" eb="33">
      <t>ゲンジョウ</t>
    </rPh>
    <rPh sb="38" eb="41">
      <t>カイゼンテン</t>
    </rPh>
    <rPh sb="42" eb="43">
      <t>ア</t>
    </rPh>
    <rPh sb="44" eb="45">
      <t>ダ</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</si>
</sst>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第&quot;@&quot;期&quot;"/>
    <numFmt numFmtId="177" formatCode="00000"/>
    <numFmt numFmtId="178" formatCode="0_ "/>
    <numFmt numFmtId="179" formatCode="0.0_ "/>
    <numFmt numFmtId="180" formatCode="yyyy/mm/dd"/>
  </numFmts>
  <fonts count="51">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sz val="14"/>
      <name val="ＭＳ Ｐゴシック"/>
      <family val="3"/>
      <charset val="128"/>
    </font>
    <font>
      <sz val="10"/>
      <color indexed="22"/>
      <name val="ＭＳ Ｐゴシック"/>
      <family val="3"/>
      <charset val="128"/>
    </font>
    <font>
      <sz val="6"/>
      <name val="ＭＳ ゴシック"/>
      <family val="3"/>
      <charset val="128"/>
    </font>
    <font>
      <sz val="16"/>
      <name val="ＭＳ Ｐゴシック"/>
      <family val="3"/>
      <charset val="128"/>
    </font>
    <font>
      <b/>
      <sz val="16"/>
      <name val="ＭＳ Ｐゴシック"/>
      <family val="3"/>
      <charset val="128"/>
    </font>
    <font>
      <sz val="10"/>
      <color indexed="10"/>
      <name val="ＭＳ Ｐゴシック"/>
      <family val="3"/>
      <charset val="128"/>
    </font>
    <font>
      <b/>
      <sz val="10"/>
      <name val="ＭＳ Ｐゴシック"/>
      <family val="3"/>
      <charset val="128"/>
    </font>
    <font>
      <sz val="8"/>
      <name val="ＭＳ Ｐゴシック"/>
      <family val="3"/>
      <charset val="128"/>
    </font>
    <font>
      <b/>
      <sz val="10"/>
      <color indexed="10"/>
      <name val="ＭＳ Ｐゴシック"/>
      <family val="3"/>
      <charset val="128"/>
    </font>
    <font>
      <sz val="10.5"/>
      <name val="ＭＳ Ｐゴシック"/>
      <family val="3"/>
      <charset val="128"/>
    </font>
    <font>
      <b/>
      <sz val="9"/>
      <color indexed="10"/>
      <name val="ＭＳ Ｐゴシック"/>
      <family val="3"/>
      <charset val="128"/>
    </font>
    <font>
      <b/>
      <sz val="22"/>
      <name val="HGP創英角ｺﾞｼｯｸUB"/>
      <family val="3"/>
      <charset val="128"/>
    </font>
    <font>
      <b/>
      <sz val="18"/>
      <name val="HGP創英角ｺﾞｼｯｸUB"/>
      <family val="3"/>
      <charset val="128"/>
    </font>
    <font>
      <b/>
      <sz val="20"/>
      <name val="HGP創英角ｺﾞｼｯｸUB"/>
      <family val="3"/>
      <charset val="128"/>
    </font>
    <font>
      <sz val="12"/>
      <color indexed="10"/>
      <name val="ＭＳ Ｐゴシック"/>
      <family val="3"/>
      <charset val="128"/>
    </font>
    <font>
      <sz val="14"/>
      <name val="HGPｺﾞｼｯｸE"/>
      <family val="3"/>
      <charset val="128"/>
    </font>
    <font>
      <sz val="12"/>
      <color indexed="12"/>
      <name val="ＭＳ Ｐゴシック"/>
      <family val="3"/>
      <charset val="128"/>
    </font>
    <font>
      <b/>
      <i/>
      <u/>
      <sz val="10"/>
      <color indexed="10"/>
      <name val="ＭＳ Ｐゴシック"/>
      <family val="3"/>
      <charset val="128"/>
    </font>
    <font>
      <sz val="10"/>
      <color indexed="12"/>
      <name val="ＭＳ Ｐゴシック"/>
      <family val="3"/>
      <charset val="128"/>
    </font>
    <font>
      <b/>
      <sz val="16"/>
      <color indexed="10"/>
      <name val="ＭＳ Ｐゴシック"/>
      <family val="3"/>
      <charset val="128"/>
    </font>
    <font>
      <sz val="8.5"/>
      <name val="ＭＳ Ｐゴシック"/>
      <family val="3"/>
      <charset val="128"/>
    </font>
    <font>
      <b/>
      <sz val="14"/>
      <color indexed="10"/>
      <name val="ＭＳ Ｐゴシック"/>
      <family val="3"/>
      <charset val="128"/>
    </font>
    <font>
      <b/>
      <sz val="18"/>
      <name val="ＭＳ Ｐゴシック"/>
      <family val="3"/>
      <charset val="128"/>
    </font>
    <font>
      <sz val="11"/>
      <color theme="1"/>
      <name val="ＭＳ Ｐゴシック"/>
      <family val="3"/>
      <charset val="128"/>
    </font>
    <font>
      <b/>
      <sz val="12"/>
      <name val="ＭＳ Ｐゴシック"/>
      <family val="3"/>
      <charset val="128"/>
    </font>
    <font>
      <sz val="6"/>
      <name val="ＭＳ Ｐゴシック"/>
      <family val="2"/>
      <charset val="128"/>
      <scheme val="minor"/>
    </font>
    <font>
      <b/>
      <sz val="20"/>
      <color rgb="FF000000"/>
      <name val="Meiryo UI"/>
      <family val="3"/>
      <charset val="128"/>
    </font>
    <font>
      <sz val="6"/>
      <name val="游ゴシック"/>
      <family val="2"/>
      <charset val="128"/>
    </font>
    <font>
      <b/>
      <sz val="20"/>
      <color rgb="FF000000"/>
      <name val="Arial"/>
      <family val="2"/>
    </font>
    <font>
      <sz val="11"/>
      <color rgb="FF000000"/>
      <name val="Arial"/>
      <family val="2"/>
    </font>
    <font>
      <b/>
      <sz val="12"/>
      <color rgb="FF000000"/>
      <name val="Arial"/>
      <family val="2"/>
    </font>
    <font>
      <b/>
      <sz val="11"/>
      <color rgb="FF000000"/>
      <name val="Arial"/>
      <family val="2"/>
    </font>
    <font>
      <b/>
      <sz val="11"/>
      <color rgb="FF000000"/>
      <name val="ＭＳ Ｐゴシック"/>
      <family val="3"/>
      <charset val="128"/>
    </font>
    <font>
      <sz val="11"/>
      <color rgb="FF000000"/>
      <name val="ＭＳ Ｐゴシック"/>
      <family val="3"/>
      <charset val="128"/>
    </font>
    <font>
      <b/>
      <sz val="14"/>
      <color rgb="FFFFFFFF"/>
      <name val="メイリオ"/>
      <family val="3"/>
      <charset val="128"/>
    </font>
    <font>
      <b/>
      <sz val="12"/>
      <color rgb="FF000000"/>
      <name val="ＭＳ Ｐゴシック"/>
      <family val="3"/>
      <charset val="128"/>
    </font>
    <font>
      <sz val="12"/>
      <color rgb="FF000000"/>
      <name val="Arial"/>
      <family val="2"/>
    </font>
    <font>
      <sz val="12"/>
      <color rgb="FF000000"/>
      <name val="ＭＳ Ｐゴシック"/>
      <family val="3"/>
      <charset val="128"/>
    </font>
    <font>
      <b/>
      <sz val="14"/>
      <color rgb="FF000000"/>
      <name val="Arial"/>
      <family val="2"/>
    </font>
    <font>
      <b/>
      <sz val="14"/>
      <color rgb="FF000000"/>
      <name val="HGS創英角ｺﾞｼｯｸUB"/>
      <family val="3"/>
      <charset val="128"/>
    </font>
    <font>
      <b/>
      <sz val="10"/>
      <color rgb="FFFF0000"/>
      <name val="ＭＳ Ｐゴシック"/>
      <family val="3"/>
      <charset val="128"/>
    </font>
    <font>
      <b/>
      <sz val="9"/>
      <color indexed="81"/>
      <name val="MS P ゴシック"/>
      <family val="3"/>
      <charset val="128"/>
    </font>
    <font>
      <sz val="12"/>
      <color rgb="FF000000"/>
      <name val="ＭＳ Ｐゴシック"/>
      <family val="2"/>
      <charset val="128"/>
    </font>
  </fonts>
  <fills count="12">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15"/>
        <bgColor indexed="64"/>
      </patternFill>
    </fill>
    <fill>
      <patternFill patternType="solid">
        <fgColor indexed="2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2F2F2"/>
        <bgColor rgb="FF000000"/>
      </patternFill>
    </fill>
    <fill>
      <patternFill patternType="solid">
        <fgColor rgb="FF44546A"/>
        <bgColor rgb="FF000000"/>
      </patternFill>
    </fill>
    <fill>
      <patternFill patternType="solid">
        <fgColor rgb="FFD6DCE4"/>
        <bgColor rgb="FF000000"/>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style="double">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right/>
      <top style="thin">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style="double">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auto="1"/>
      </bottom>
      <diagonal/>
    </border>
  </borders>
  <cellStyleXfs count="3">
    <xf numFmtId="0" fontId="0" fillId="0" borderId="0"/>
    <xf numFmtId="0" fontId="1" fillId="0" borderId="0"/>
    <xf numFmtId="0" fontId="1" fillId="0" borderId="0"/>
  </cellStyleXfs>
  <cellXfs count="741">
    <xf numFmtId="0" fontId="0" fillId="0" borderId="0" xfId="0"/>
    <xf numFmtId="0" fontId="3" fillId="0" borderId="1" xfId="0" applyFont="1" applyBorder="1" applyAlignment="1">
      <alignment horizontal="center"/>
    </xf>
    <xf numFmtId="0" fontId="3" fillId="0" borderId="0" xfId="0" applyFont="1"/>
    <xf numFmtId="0" fontId="3" fillId="4" borderId="0" xfId="0" applyFont="1" applyFill="1"/>
    <xf numFmtId="0" fontId="9" fillId="0" borderId="0" xfId="0" applyFont="1"/>
    <xf numFmtId="0" fontId="3" fillId="0" borderId="0" xfId="0" applyFont="1" applyAlignment="1">
      <alignment horizontal="center"/>
    </xf>
    <xf numFmtId="0" fontId="3" fillId="0" borderId="2" xfId="0" applyFont="1" applyBorder="1"/>
    <xf numFmtId="0" fontId="3" fillId="0" borderId="1" xfId="0" applyFont="1" applyBorder="1"/>
    <xf numFmtId="0" fontId="3" fillId="0" borderId="3" xfId="0" applyFont="1" applyBorder="1"/>
    <xf numFmtId="0" fontId="3" fillId="0" borderId="4" xfId="0" applyFont="1" applyBorder="1"/>
    <xf numFmtId="0" fontId="3" fillId="0" borderId="9" xfId="0" applyFont="1" applyBorder="1"/>
    <xf numFmtId="0" fontId="3" fillId="0" borderId="10" xfId="0" applyFont="1" applyBorder="1"/>
    <xf numFmtId="0" fontId="3" fillId="0" borderId="11" xfId="0" applyFont="1" applyBorder="1"/>
    <xf numFmtId="176" fontId="3" fillId="0" borderId="1" xfId="0" applyNumberFormat="1" applyFont="1" applyBorder="1"/>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13" fillId="0" borderId="0" xfId="0" applyFont="1" applyAlignment="1" applyProtection="1">
      <alignment vertical="center"/>
      <protection locked="0"/>
    </xf>
    <xf numFmtId="0" fontId="0" fillId="0" borderId="0" xfId="0" applyProtection="1">
      <protection locked="0"/>
    </xf>
    <xf numFmtId="0" fontId="3" fillId="0" borderId="0" xfId="0" applyFont="1" applyAlignment="1" applyProtection="1">
      <alignment horizontal="center" vertical="center"/>
      <protection locked="0"/>
    </xf>
    <xf numFmtId="0" fontId="6" fillId="0" borderId="0" xfId="0" applyFont="1" applyAlignment="1" applyProtection="1">
      <alignment vertical="center"/>
      <protection locked="0"/>
    </xf>
    <xf numFmtId="0" fontId="4" fillId="0" borderId="0" xfId="0" applyFont="1" applyAlignment="1" applyProtection="1">
      <alignment vertical="center"/>
      <protection locked="0"/>
    </xf>
    <xf numFmtId="0" fontId="14" fillId="0" borderId="0" xfId="0" applyFont="1" applyAlignment="1" applyProtection="1">
      <alignment vertical="center"/>
      <protection locked="0"/>
    </xf>
    <xf numFmtId="0" fontId="3" fillId="0" borderId="8" xfId="0" applyFont="1" applyBorder="1" applyAlignment="1" applyProtection="1">
      <alignment vertical="center"/>
      <protection locked="0"/>
    </xf>
    <xf numFmtId="0" fontId="3" fillId="0" borderId="2" xfId="0" applyFont="1" applyBorder="1" applyAlignment="1" applyProtection="1">
      <alignment vertical="center"/>
      <protection locked="0"/>
    </xf>
    <xf numFmtId="0" fontId="3" fillId="0" borderId="12" xfId="0" applyFont="1" applyBorder="1" applyAlignment="1" applyProtection="1">
      <alignment vertical="center"/>
      <protection locked="0"/>
    </xf>
    <xf numFmtId="0" fontId="3" fillId="0" borderId="4" xfId="0" applyFont="1" applyBorder="1" applyAlignment="1" applyProtection="1">
      <alignment vertical="center"/>
      <protection locked="0"/>
    </xf>
    <xf numFmtId="0" fontId="3" fillId="0" borderId="13" xfId="0" applyFont="1" applyBorder="1" applyAlignment="1" applyProtection="1">
      <alignment vertical="center"/>
      <protection locked="0"/>
    </xf>
    <xf numFmtId="0" fontId="3"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15" fillId="0" borderId="0" xfId="0" applyFont="1" applyAlignment="1" applyProtection="1">
      <alignment vertical="center"/>
      <protection locked="0"/>
    </xf>
    <xf numFmtId="0" fontId="3" fillId="0" borderId="0" xfId="0" applyFont="1" applyAlignment="1" applyProtection="1">
      <alignment vertical="top"/>
      <protection locked="0"/>
    </xf>
    <xf numFmtId="0" fontId="3" fillId="0" borderId="14" xfId="0" applyFont="1" applyBorder="1" applyAlignment="1" applyProtection="1">
      <alignment vertical="center"/>
      <protection locked="0"/>
    </xf>
    <xf numFmtId="0" fontId="4" fillId="0" borderId="15" xfId="0" applyFont="1" applyBorder="1" applyProtection="1">
      <protection locked="0"/>
    </xf>
    <xf numFmtId="0" fontId="15" fillId="0" borderId="15" xfId="0" applyFont="1" applyBorder="1" applyAlignment="1" applyProtection="1">
      <alignment vertical="center"/>
      <protection locked="0"/>
    </xf>
    <xf numFmtId="0" fontId="15" fillId="0" borderId="15" xfId="0" applyFont="1" applyBorder="1" applyAlignment="1" applyProtection="1">
      <alignment vertical="top"/>
      <protection locked="0"/>
    </xf>
    <xf numFmtId="0" fontId="3" fillId="0" borderId="15" xfId="0" applyFont="1" applyBorder="1" applyAlignment="1" applyProtection="1">
      <alignment vertical="top"/>
      <protection locked="0"/>
    </xf>
    <xf numFmtId="0" fontId="4" fillId="0" borderId="15" xfId="0" applyFont="1" applyBorder="1" applyAlignment="1" applyProtection="1">
      <alignment vertical="top"/>
      <protection locked="0"/>
    </xf>
    <xf numFmtId="0" fontId="15" fillId="0" borderId="16" xfId="0" applyFont="1" applyBorder="1" applyAlignment="1" applyProtection="1">
      <alignment vertical="top"/>
      <protection locked="0"/>
    </xf>
    <xf numFmtId="0" fontId="1" fillId="0" borderId="0" xfId="0" applyFont="1" applyProtection="1">
      <protection locked="0"/>
    </xf>
    <xf numFmtId="0" fontId="3" fillId="0" borderId="0" xfId="0" applyFont="1" applyProtection="1">
      <protection locked="0"/>
    </xf>
    <xf numFmtId="0" fontId="15" fillId="0" borderId="0" xfId="0" applyFont="1" applyProtection="1">
      <protection locked="0"/>
    </xf>
    <xf numFmtId="0" fontId="3" fillId="0" borderId="17" xfId="0" applyFont="1" applyBorder="1" applyAlignment="1" applyProtection="1">
      <alignment vertical="center"/>
      <protection locked="0"/>
    </xf>
    <xf numFmtId="0" fontId="15" fillId="0" borderId="0" xfId="0" applyFont="1" applyAlignment="1" applyProtection="1">
      <alignment vertical="top"/>
      <protection locked="0"/>
    </xf>
    <xf numFmtId="0" fontId="15" fillId="0" borderId="18" xfId="0" applyFont="1" applyBorder="1" applyAlignment="1" applyProtection="1">
      <alignment vertical="top"/>
      <protection locked="0"/>
    </xf>
    <xf numFmtId="0" fontId="3" fillId="0" borderId="6" xfId="0" applyFont="1" applyBorder="1" applyAlignment="1" applyProtection="1">
      <alignment vertical="center"/>
      <protection locked="0"/>
    </xf>
    <xf numFmtId="0" fontId="15" fillId="0" borderId="0" xfId="0" quotePrefix="1" applyFont="1" applyProtection="1">
      <protection locked="0"/>
    </xf>
    <xf numFmtId="0" fontId="3" fillId="0" borderId="18" xfId="0" applyFont="1" applyBorder="1" applyAlignment="1" applyProtection="1">
      <alignment vertical="center"/>
      <protection locked="0"/>
    </xf>
    <xf numFmtId="0" fontId="3" fillId="0" borderId="18" xfId="0" applyFont="1" applyBorder="1" applyAlignment="1" applyProtection="1">
      <alignment vertical="top"/>
      <protection locked="0"/>
    </xf>
    <xf numFmtId="0" fontId="0" fillId="0" borderId="0" xfId="0" applyAlignment="1" applyProtection="1">
      <alignment vertical="center"/>
      <protection locked="0"/>
    </xf>
    <xf numFmtId="0" fontId="3" fillId="0" borderId="19" xfId="0" applyFont="1" applyBorder="1" applyAlignment="1" applyProtection="1">
      <alignment vertical="center"/>
      <protection locked="0"/>
    </xf>
    <xf numFmtId="0" fontId="3" fillId="0" borderId="19" xfId="0" quotePrefix="1" applyFont="1" applyBorder="1" applyProtection="1">
      <protection locked="0"/>
    </xf>
    <xf numFmtId="0" fontId="1" fillId="0" borderId="19" xfId="0" applyFont="1" applyBorder="1" applyProtection="1">
      <protection locked="0"/>
    </xf>
    <xf numFmtId="0" fontId="3" fillId="0" borderId="19" xfId="0" applyFont="1" applyBorder="1" applyProtection="1">
      <protection locked="0"/>
    </xf>
    <xf numFmtId="0" fontId="3" fillId="0" borderId="20" xfId="0" applyFont="1" applyBorder="1" applyProtection="1">
      <protection locked="0"/>
    </xf>
    <xf numFmtId="0" fontId="6" fillId="0" borderId="0" xfId="0" applyFont="1" applyAlignment="1" applyProtection="1">
      <alignment horizontal="center" vertical="center"/>
      <protection locked="0"/>
    </xf>
    <xf numFmtId="0" fontId="6"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3" fillId="0" borderId="2" xfId="0" applyFont="1" applyBorder="1" applyProtection="1">
      <protection locked="0"/>
    </xf>
    <xf numFmtId="0" fontId="3" fillId="0" borderId="5" xfId="0" applyFont="1" applyBorder="1" applyProtection="1">
      <protection locked="0"/>
    </xf>
    <xf numFmtId="0" fontId="3" fillId="0" borderId="3" xfId="0" applyFont="1" applyBorder="1" applyProtection="1">
      <protection locked="0"/>
    </xf>
    <xf numFmtId="0" fontId="3" fillId="0" borderId="4" xfId="0" applyFont="1" applyBorder="1" applyProtection="1">
      <protection locked="0"/>
    </xf>
    <xf numFmtId="0" fontId="3" fillId="0" borderId="8" xfId="0" applyFont="1" applyBorder="1" applyProtection="1">
      <protection locked="0"/>
    </xf>
    <xf numFmtId="0" fontId="3" fillId="0" borderId="6" xfId="0" applyFont="1" applyBorder="1" applyProtection="1">
      <protection locked="0"/>
    </xf>
    <xf numFmtId="0" fontId="3" fillId="0" borderId="5"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15" fillId="0" borderId="3" xfId="0" applyFont="1" applyBorder="1" applyAlignment="1" applyProtection="1">
      <alignment horizontal="center"/>
      <protection locked="0"/>
    </xf>
    <xf numFmtId="0" fontId="3" fillId="0" borderId="15" xfId="0" applyFont="1" applyBorder="1" applyAlignment="1" applyProtection="1">
      <alignment vertical="center"/>
      <protection locked="0"/>
    </xf>
    <xf numFmtId="0" fontId="3" fillId="0" borderId="17" xfId="0" applyFont="1" applyBorder="1" applyAlignment="1" applyProtection="1">
      <alignment horizontal="center" vertical="center"/>
      <protection locked="0"/>
    </xf>
    <xf numFmtId="0" fontId="3" fillId="0" borderId="0" xfId="0" quotePrefix="1" applyFont="1" applyAlignment="1" applyProtection="1">
      <alignment vertical="center"/>
      <protection locked="0"/>
    </xf>
    <xf numFmtId="0" fontId="15" fillId="0" borderId="17" xfId="0" applyFont="1" applyBorder="1" applyAlignment="1" applyProtection="1">
      <alignment horizontal="center"/>
      <protection locked="0"/>
    </xf>
    <xf numFmtId="0" fontId="15" fillId="0" borderId="23" xfId="0" applyFont="1" applyBorder="1" applyAlignment="1" applyProtection="1">
      <alignment horizontal="center"/>
      <protection locked="0"/>
    </xf>
    <xf numFmtId="0" fontId="15" fillId="0" borderId="19" xfId="0" applyFont="1" applyBorder="1" applyAlignment="1" applyProtection="1">
      <alignment horizontal="center"/>
      <protection locked="0"/>
    </xf>
    <xf numFmtId="0" fontId="29" fillId="0" borderId="0" xfId="1" applyFont="1"/>
    <xf numFmtId="0" fontId="24" fillId="0" borderId="0" xfId="0" applyFont="1" applyAlignment="1" applyProtection="1">
      <alignment vertical="center"/>
      <protection locked="0"/>
    </xf>
    <xf numFmtId="0" fontId="3" fillId="0" borderId="1" xfId="0" applyFont="1" applyBorder="1" applyAlignment="1">
      <alignment wrapText="1"/>
    </xf>
    <xf numFmtId="0" fontId="4" fillId="0" borderId="0" xfId="0" applyFont="1" applyProtection="1">
      <protection locked="0"/>
    </xf>
    <xf numFmtId="0" fontId="3" fillId="0" borderId="1" xfId="0" quotePrefix="1" applyFont="1" applyBorder="1" applyAlignment="1">
      <alignment horizontal="left" wrapText="1"/>
    </xf>
    <xf numFmtId="0" fontId="3" fillId="0" borderId="1" xfId="0" applyFont="1" applyBorder="1" applyAlignment="1">
      <alignment horizontal="left" wrapText="1"/>
    </xf>
    <xf numFmtId="0" fontId="6" fillId="0" borderId="0" xfId="0" applyFont="1" applyAlignment="1">
      <alignment horizontal="center" vertical="center"/>
    </xf>
    <xf numFmtId="0" fontId="11" fillId="0" borderId="7" xfId="0" applyFont="1" applyBorder="1" applyAlignment="1">
      <alignment vertical="center"/>
    </xf>
    <xf numFmtId="0" fontId="11" fillId="0" borderId="21" xfId="0" applyFont="1" applyBorder="1" applyAlignment="1">
      <alignment vertical="center"/>
    </xf>
    <xf numFmtId="0" fontId="3" fillId="0" borderId="1" xfId="0" quotePrefix="1" applyFont="1" applyBorder="1" applyAlignment="1">
      <alignment horizontal="left"/>
    </xf>
    <xf numFmtId="0" fontId="11" fillId="0" borderId="22" xfId="0" applyFont="1" applyBorder="1" applyAlignment="1">
      <alignment vertical="center"/>
    </xf>
    <xf numFmtId="0" fontId="6" fillId="0" borderId="0" xfId="0" applyFont="1" applyAlignment="1">
      <alignment vertical="center"/>
    </xf>
    <xf numFmtId="0" fontId="28" fillId="0" borderId="0" xfId="0" applyFont="1" applyAlignment="1" applyProtection="1">
      <alignment vertical="center"/>
      <protection locked="0"/>
    </xf>
    <xf numFmtId="0" fontId="15" fillId="0" borderId="0" xfId="0" applyFont="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20" fillId="0" borderId="0" xfId="0" applyFont="1" applyAlignment="1">
      <alignment horizontal="center" vertical="center"/>
    </xf>
    <xf numFmtId="0" fontId="23" fillId="0" borderId="0" xfId="0" applyFont="1" applyAlignment="1" applyProtection="1">
      <alignment horizontal="left" vertical="center"/>
      <protection locked="0"/>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protection locked="0"/>
    </xf>
    <xf numFmtId="0" fontId="15" fillId="0" borderId="7" xfId="0" applyFont="1" applyBorder="1" applyAlignment="1" applyProtection="1">
      <alignment horizontal="left" vertical="center"/>
      <protection locked="0"/>
    </xf>
    <xf numFmtId="0" fontId="15" fillId="0" borderId="21" xfId="0" applyFont="1" applyBorder="1" applyAlignment="1" applyProtection="1">
      <alignment horizontal="left" vertical="center"/>
      <protection locked="0"/>
    </xf>
    <xf numFmtId="0" fontId="3" fillId="0" borderId="21" xfId="0" applyFont="1" applyBorder="1" applyAlignment="1" applyProtection="1">
      <alignment vertical="center"/>
      <protection locked="0"/>
    </xf>
    <xf numFmtId="0" fontId="15" fillId="0" borderId="21" xfId="0" applyFont="1" applyBorder="1" applyAlignment="1" applyProtection="1">
      <alignment vertical="top"/>
      <protection locked="0"/>
    </xf>
    <xf numFmtId="0" fontId="15" fillId="0" borderId="0" xfId="0" quotePrefix="1" applyFont="1" applyAlignment="1" applyProtection="1">
      <alignment horizontal="center" vertical="center"/>
      <protection locked="0"/>
    </xf>
    <xf numFmtId="0" fontId="15" fillId="0" borderId="7" xfId="0" applyFont="1" applyBorder="1" applyAlignment="1" applyProtection="1">
      <alignment vertical="center"/>
      <protection locked="0"/>
    </xf>
    <xf numFmtId="0" fontId="15" fillId="0" borderId="21" xfId="0" applyFont="1" applyBorder="1" applyAlignment="1" applyProtection="1">
      <alignment vertical="center"/>
      <protection locked="0"/>
    </xf>
    <xf numFmtId="0" fontId="4" fillId="0" borderId="21" xfId="0" applyFont="1" applyBorder="1" applyAlignment="1" applyProtection="1">
      <alignment vertical="center"/>
      <protection locked="0"/>
    </xf>
    <xf numFmtId="0" fontId="4" fillId="0" borderId="22" xfId="0" applyFont="1" applyBorder="1" applyAlignment="1" applyProtection="1">
      <alignment vertical="center"/>
      <protection locked="0"/>
    </xf>
    <xf numFmtId="0" fontId="4" fillId="0" borderId="21" xfId="0" applyFont="1" applyBorder="1" applyProtection="1">
      <protection locked="0"/>
    </xf>
    <xf numFmtId="0" fontId="15" fillId="0" borderId="22" xfId="0" applyFont="1" applyBorder="1" applyAlignment="1" applyProtection="1">
      <alignment vertical="top"/>
      <protection locked="0"/>
    </xf>
    <xf numFmtId="0" fontId="15" fillId="0" borderId="22" xfId="0" applyFont="1" applyBorder="1" applyAlignment="1" applyProtection="1">
      <alignment vertical="center"/>
      <protection locked="0"/>
    </xf>
    <xf numFmtId="0" fontId="3" fillId="0" borderId="0" xfId="0" applyFont="1" applyAlignment="1">
      <alignment vertical="center"/>
    </xf>
    <xf numFmtId="0" fontId="3" fillId="0" borderId="0" xfId="0" quotePrefix="1" applyFont="1" applyAlignment="1">
      <alignment horizontal="left"/>
    </xf>
    <xf numFmtId="0" fontId="16" fillId="0" borderId="0" xfId="0" applyFont="1"/>
    <xf numFmtId="0" fontId="17"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vertical="center" textRotation="255"/>
    </xf>
    <xf numFmtId="0" fontId="3" fillId="0" borderId="0" xfId="0" applyFont="1" applyAlignment="1">
      <alignment horizontal="center" vertical="center" wrapText="1"/>
    </xf>
    <xf numFmtId="0" fontId="8" fillId="0" borderId="0" xfId="0" applyFont="1" applyAlignment="1">
      <alignment horizontal="center" vertical="center"/>
    </xf>
    <xf numFmtId="0" fontId="18" fillId="0" borderId="0" xfId="0" applyFont="1" applyAlignment="1">
      <alignment horizontal="center" vertical="center" wrapText="1"/>
    </xf>
    <xf numFmtId="0" fontId="4" fillId="0" borderId="0" xfId="0" applyFont="1" applyAlignment="1">
      <alignment horizontal="center"/>
    </xf>
    <xf numFmtId="0" fontId="19" fillId="0" borderId="0" xfId="0" applyFont="1" applyAlignment="1">
      <alignment horizontal="center" vertical="center"/>
    </xf>
    <xf numFmtId="0" fontId="2" fillId="0" borderId="0" xfId="0" applyFont="1" applyAlignment="1" applyProtection="1">
      <alignment horizontal="center" vertical="center" wrapText="1"/>
      <protection locked="0"/>
    </xf>
    <xf numFmtId="0" fontId="4" fillId="0" borderId="0" xfId="0" applyFont="1" applyAlignment="1">
      <alignment horizontal="center" vertical="center" textRotation="255" wrapText="1"/>
    </xf>
    <xf numFmtId="0" fontId="3" fillId="0" borderId="0" xfId="0" applyFont="1" applyAlignment="1">
      <alignment horizontal="left"/>
    </xf>
    <xf numFmtId="0" fontId="21" fillId="0" borderId="0" xfId="0" applyFont="1" applyAlignment="1">
      <alignment horizontal="center" vertical="center"/>
    </xf>
    <xf numFmtId="0" fontId="3" fillId="0" borderId="0" xfId="0" quotePrefix="1" applyFont="1" applyAlignment="1">
      <alignment horizontal="left" wrapText="1"/>
    </xf>
    <xf numFmtId="0" fontId="22" fillId="0" borderId="0" xfId="0" applyFont="1" applyAlignment="1" applyProtection="1">
      <alignment vertical="center"/>
      <protection locked="0"/>
    </xf>
    <xf numFmtId="0" fontId="23" fillId="0" borderId="0" xfId="0" applyFont="1" applyAlignment="1" applyProtection="1">
      <alignment vertical="center"/>
      <protection locked="0"/>
    </xf>
    <xf numFmtId="0" fontId="20" fillId="0" borderId="0" xfId="0" applyFont="1" applyAlignment="1">
      <alignment vertical="center"/>
    </xf>
    <xf numFmtId="0" fontId="27" fillId="0" borderId="0" xfId="1" applyFont="1" applyAlignment="1">
      <alignment vertical="center"/>
    </xf>
    <xf numFmtId="0" fontId="31" fillId="0" borderId="0" xfId="0" applyFont="1" applyProtection="1">
      <protection locked="0"/>
    </xf>
    <xf numFmtId="0" fontId="31" fillId="0" borderId="0" xfId="0" applyFont="1" applyProtection="1">
      <protection hidden="1"/>
    </xf>
    <xf numFmtId="0" fontId="5" fillId="0" borderId="0" xfId="0" applyFont="1" applyAlignment="1" applyProtection="1">
      <alignment horizontal="left"/>
      <protection locked="0"/>
    </xf>
    <xf numFmtId="0" fontId="3" fillId="0" borderId="0" xfId="0" applyFont="1" applyAlignment="1" applyProtection="1">
      <alignment horizontal="left"/>
      <protection locked="0"/>
    </xf>
    <xf numFmtId="0" fontId="6" fillId="0" borderId="0" xfId="0" applyFont="1" applyAlignment="1" applyProtection="1">
      <alignment horizontal="left"/>
      <protection locked="0"/>
    </xf>
    <xf numFmtId="0" fontId="6" fillId="0" borderId="0" xfId="0" applyFont="1" applyAlignment="1">
      <alignment horizontal="left"/>
    </xf>
    <xf numFmtId="177" fontId="6" fillId="0" borderId="0" xfId="0" applyNumberFormat="1" applyFont="1" applyAlignment="1">
      <alignment vertical="center"/>
    </xf>
    <xf numFmtId="0" fontId="6" fillId="0" borderId="0" xfId="0" applyFont="1" applyAlignment="1">
      <alignment vertical="center" wrapText="1"/>
    </xf>
    <xf numFmtId="14" fontId="15" fillId="0" borderId="0" xfId="0" applyNumberFormat="1" applyFont="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0" fontId="8" fillId="0" borderId="0" xfId="0" applyFont="1" applyAlignment="1">
      <alignment vertical="center"/>
    </xf>
    <xf numFmtId="0" fontId="12" fillId="0" borderId="0" xfId="0" applyFont="1" applyAlignment="1">
      <alignment horizontal="center" vertical="center"/>
    </xf>
    <xf numFmtId="0" fontId="11" fillId="0" borderId="0" xfId="0" applyFont="1" applyAlignment="1">
      <alignment vertical="center"/>
    </xf>
    <xf numFmtId="0" fontId="37" fillId="0" borderId="0" xfId="0" applyFont="1" applyAlignment="1">
      <alignment vertical="center" wrapText="1"/>
    </xf>
    <xf numFmtId="0" fontId="39" fillId="9" borderId="1" xfId="0" applyFont="1" applyFill="1" applyBorder="1" applyAlignment="1">
      <alignment horizontal="center" vertical="center" wrapText="1"/>
    </xf>
    <xf numFmtId="0" fontId="41" fillId="0" borderId="7" xfId="0" applyFont="1" applyBorder="1" applyAlignment="1">
      <alignment horizontal="center" vertical="center" wrapText="1"/>
    </xf>
    <xf numFmtId="0" fontId="41" fillId="0" borderId="21" xfId="0" applyFont="1" applyBorder="1" applyAlignment="1">
      <alignment horizontal="center" vertical="center" wrapText="1"/>
    </xf>
    <xf numFmtId="0" fontId="41" fillId="0" borderId="22" xfId="0" applyFont="1" applyBorder="1" applyAlignment="1">
      <alignment horizontal="center" vertical="center" wrapText="1"/>
    </xf>
    <xf numFmtId="0" fontId="38" fillId="9" borderId="1" xfId="0" applyFont="1" applyFill="1" applyBorder="1" applyAlignment="1">
      <alignment horizontal="center" vertical="center" wrapText="1"/>
    </xf>
    <xf numFmtId="20" fontId="4" fillId="0" borderId="3" xfId="0" quotePrefix="1" applyNumberFormat="1" applyFont="1" applyBorder="1" applyAlignment="1" applyProtection="1">
      <alignment vertical="center"/>
      <protection locked="0"/>
    </xf>
    <xf numFmtId="0" fontId="4" fillId="0" borderId="3" xfId="0" quotePrefix="1" applyFont="1" applyBorder="1" applyAlignment="1" applyProtection="1">
      <alignment vertical="center"/>
      <protection locked="0"/>
    </xf>
    <xf numFmtId="0" fontId="4" fillId="0" borderId="0" xfId="0" quotePrefix="1" applyFont="1" applyAlignment="1" applyProtection="1">
      <alignment vertical="center"/>
      <protection locked="0"/>
    </xf>
    <xf numFmtId="0" fontId="4" fillId="0" borderId="3" xfId="0" applyFont="1" applyBorder="1" applyAlignment="1" applyProtection="1">
      <alignment vertical="center"/>
      <protection locked="0"/>
    </xf>
    <xf numFmtId="0" fontId="4" fillId="0" borderId="8" xfId="0" applyFont="1" applyBorder="1" applyAlignment="1" applyProtection="1">
      <alignment vertical="center"/>
      <protection locked="0"/>
    </xf>
    <xf numFmtId="0" fontId="4" fillId="0" borderId="13" xfId="0" applyFont="1" applyBorder="1" applyAlignment="1" applyProtection="1">
      <alignment vertical="center"/>
      <protection locked="0"/>
    </xf>
    <xf numFmtId="0" fontId="48" fillId="0" borderId="0" xfId="0" applyFont="1" applyAlignment="1" applyProtection="1">
      <alignment vertical="center"/>
      <protection locked="0"/>
    </xf>
    <xf numFmtId="0" fontId="1" fillId="0" borderId="0" xfId="2" applyAlignment="1">
      <alignment vertical="center"/>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8" fillId="0" borderId="0" xfId="0" applyFont="1" applyAlignment="1" applyProtection="1">
      <alignment vertical="center"/>
      <protection locked="0"/>
    </xf>
    <xf numFmtId="0" fontId="32" fillId="0" borderId="0" xfId="0" applyFont="1" applyAlignment="1" applyProtection="1">
      <alignment horizontal="center" vertical="center"/>
      <protection locked="0"/>
    </xf>
    <xf numFmtId="0" fontId="3" fillId="0" borderId="68" xfId="0" applyFont="1" applyBorder="1" applyAlignment="1" applyProtection="1">
      <alignment vertical="center"/>
      <protection locked="0"/>
    </xf>
    <xf numFmtId="0" fontId="42" fillId="10" borderId="1" xfId="0" applyFont="1" applyFill="1" applyBorder="1" applyAlignment="1">
      <alignment horizontal="center" vertical="center" wrapText="1"/>
    </xf>
    <xf numFmtId="0" fontId="2" fillId="0" borderId="0" xfId="0" quotePrefix="1" applyFont="1" applyAlignment="1" applyProtection="1">
      <alignment vertical="center" wrapText="1"/>
      <protection locked="0"/>
    </xf>
    <xf numFmtId="0" fontId="2" fillId="0" borderId="0" xfId="0" applyFont="1" applyAlignment="1" applyProtection="1">
      <alignment vertical="center"/>
      <protection locked="0"/>
    </xf>
    <xf numFmtId="0" fontId="2" fillId="0" borderId="0" xfId="0" quotePrefix="1" applyFont="1" applyAlignment="1" applyProtection="1">
      <alignment vertical="center"/>
      <protection locked="0"/>
    </xf>
    <xf numFmtId="0" fontId="2" fillId="0" borderId="0" xfId="0" applyFont="1" applyAlignment="1" applyProtection="1">
      <alignment vertical="center" wrapText="1"/>
      <protection locked="0"/>
    </xf>
    <xf numFmtId="0" fontId="3" fillId="0" borderId="12" xfId="0" applyFont="1" applyBorder="1"/>
    <xf numFmtId="0" fontId="3" fillId="0" borderId="6" xfId="0" applyFont="1" applyBorder="1"/>
    <xf numFmtId="0" fontId="3" fillId="0" borderId="13" xfId="0" applyFont="1" applyBorder="1"/>
    <xf numFmtId="0" fontId="3" fillId="0" borderId="5" xfId="0" applyFont="1" applyBorder="1" applyAlignment="1" applyProtection="1">
      <alignment vertical="center" wrapText="1"/>
      <protection locked="0"/>
    </xf>
    <xf numFmtId="0" fontId="3" fillId="0" borderId="0" xfId="0" applyFont="1" applyAlignment="1" applyProtection="1">
      <alignment vertical="center" wrapText="1"/>
      <protection locked="0"/>
    </xf>
    <xf numFmtId="0" fontId="3" fillId="0" borderId="13" xfId="0" applyFont="1" applyBorder="1" applyProtection="1">
      <protection locked="0"/>
    </xf>
    <xf numFmtId="0" fontId="3" fillId="0" borderId="5" xfId="0" applyFont="1" applyBorder="1" applyAlignment="1" applyProtection="1">
      <alignment vertical="center"/>
      <protection locked="0"/>
    </xf>
    <xf numFmtId="0" fontId="15" fillId="0" borderId="0" xfId="0" applyFont="1" applyAlignment="1" applyProtection="1">
      <alignment vertical="center" shrinkToFit="1"/>
      <protection locked="0"/>
    </xf>
    <xf numFmtId="0" fontId="3" fillId="0" borderId="0" xfId="0" applyFont="1" applyAlignment="1" applyProtection="1">
      <alignment vertical="center" shrinkToFit="1"/>
      <protection locked="0"/>
    </xf>
    <xf numFmtId="0" fontId="3" fillId="0" borderId="0" xfId="0" quotePrefix="1" applyFont="1" applyAlignment="1" applyProtection="1">
      <alignment vertical="center" shrinkToFit="1"/>
      <protection locked="0"/>
    </xf>
    <xf numFmtId="0" fontId="3" fillId="0" borderId="1" xfId="0" applyFont="1" applyBorder="1" applyAlignment="1">
      <alignment shrinkToFit="1"/>
    </xf>
    <xf numFmtId="0" fontId="3" fillId="0" borderId="1" xfId="0" quotePrefix="1" applyFont="1" applyBorder="1" applyAlignment="1">
      <alignment horizontal="left" shrinkToFit="1"/>
    </xf>
    <xf numFmtId="49" fontId="3" fillId="0" borderId="1" xfId="0" applyNumberFormat="1" applyFont="1" applyBorder="1" applyAlignment="1">
      <alignment shrinkToFit="1"/>
    </xf>
    <xf numFmtId="0" fontId="3" fillId="0" borderId="1" xfId="0" applyFont="1" applyBorder="1" applyAlignment="1">
      <alignment horizontal="left" shrinkToFit="1"/>
    </xf>
    <xf numFmtId="0" fontId="3" fillId="0" borderId="1" xfId="0" applyFont="1" applyBorder="1" applyAlignment="1">
      <alignment horizontal="center" vertical="center" wrapText="1"/>
    </xf>
    <xf numFmtId="178" fontId="30" fillId="0" borderId="1" xfId="0" applyNumberFormat="1" applyFont="1" applyBorder="1" applyAlignment="1">
      <alignment horizontal="center" vertical="center"/>
    </xf>
    <xf numFmtId="178" fontId="30" fillId="0" borderId="2" xfId="0" applyNumberFormat="1" applyFont="1" applyBorder="1" applyAlignment="1">
      <alignment horizontal="center" vertical="center"/>
    </xf>
    <xf numFmtId="178" fontId="30" fillId="0" borderId="5" xfId="0" applyNumberFormat="1" applyFont="1" applyBorder="1" applyAlignment="1">
      <alignment horizontal="center" vertical="center"/>
    </xf>
    <xf numFmtId="178" fontId="30" fillId="0" borderId="12" xfId="0" applyNumberFormat="1" applyFont="1" applyBorder="1" applyAlignment="1">
      <alignment horizontal="center" vertical="center"/>
    </xf>
    <xf numFmtId="178" fontId="30" fillId="0" borderId="3" xfId="0" applyNumberFormat="1" applyFont="1" applyBorder="1" applyAlignment="1">
      <alignment horizontal="center" vertical="center"/>
    </xf>
    <xf numFmtId="178" fontId="30" fillId="0" borderId="0" xfId="0" applyNumberFormat="1" applyFont="1" applyAlignment="1">
      <alignment horizontal="center" vertical="center"/>
    </xf>
    <xf numFmtId="178" fontId="30" fillId="0" borderId="6" xfId="0" applyNumberFormat="1" applyFont="1" applyBorder="1" applyAlignment="1">
      <alignment horizontal="center" vertical="center"/>
    </xf>
    <xf numFmtId="178" fontId="30" fillId="0" borderId="4" xfId="0" applyNumberFormat="1" applyFont="1" applyBorder="1" applyAlignment="1">
      <alignment horizontal="center" vertical="center"/>
    </xf>
    <xf numFmtId="178" fontId="30" fillId="0" borderId="8" xfId="0" applyNumberFormat="1" applyFont="1" applyBorder="1" applyAlignment="1">
      <alignment horizontal="center" vertical="center"/>
    </xf>
    <xf numFmtId="178" fontId="30" fillId="0" borderId="13"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lignment horizontal="center" vertical="center"/>
    </xf>
    <xf numFmtId="0" fontId="15" fillId="0" borderId="7" xfId="0" quotePrefix="1" applyFont="1" applyBorder="1" applyAlignment="1" applyProtection="1">
      <alignment horizontal="center" vertical="center" shrinkToFit="1"/>
      <protection locked="0"/>
    </xf>
    <xf numFmtId="0" fontId="15" fillId="0" borderId="22" xfId="0" quotePrefix="1"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shrinkToFit="1"/>
      <protection locked="0"/>
    </xf>
    <xf numFmtId="0" fontId="15" fillId="0" borderId="21" xfId="0" applyFont="1" applyBorder="1" applyAlignment="1" applyProtection="1">
      <alignment horizontal="center" vertical="center" shrinkToFit="1"/>
      <protection locked="0"/>
    </xf>
    <xf numFmtId="0" fontId="15" fillId="0" borderId="22" xfId="0" applyFont="1" applyBorder="1" applyAlignment="1" applyProtection="1">
      <alignment horizontal="center" vertical="center" shrinkToFit="1"/>
      <protection locked="0"/>
    </xf>
    <xf numFmtId="0" fontId="15" fillId="0" borderId="0" xfId="0" applyFont="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56" fontId="0" fillId="0" borderId="21" xfId="0" applyNumberFormat="1" applyBorder="1" applyAlignment="1" applyProtection="1">
      <alignment horizontal="center" vertical="center" wrapText="1"/>
      <protection locked="0"/>
    </xf>
    <xf numFmtId="56" fontId="0" fillId="0" borderId="22" xfId="0" applyNumberFormat="1" applyBorder="1" applyAlignment="1" applyProtection="1">
      <alignment horizontal="center" vertical="center" wrapText="1"/>
      <protection locked="0"/>
    </xf>
    <xf numFmtId="0" fontId="15" fillId="0" borderId="2" xfId="0" applyFont="1" applyBorder="1" applyAlignment="1" applyProtection="1">
      <alignment vertical="top" wrapText="1"/>
      <protection locked="0"/>
    </xf>
    <xf numFmtId="0" fontId="15" fillId="0" borderId="5" xfId="0" applyFont="1" applyBorder="1" applyAlignment="1" applyProtection="1">
      <alignment vertical="top" wrapText="1"/>
      <protection locked="0"/>
    </xf>
    <xf numFmtId="0" fontId="15" fillId="0" borderId="36" xfId="0" applyFont="1" applyBorder="1" applyAlignment="1" applyProtection="1">
      <alignment vertical="top" wrapText="1"/>
      <protection locked="0"/>
    </xf>
    <xf numFmtId="0" fontId="15" fillId="0" borderId="3" xfId="0" applyFont="1" applyBorder="1" applyAlignment="1" applyProtection="1">
      <alignment vertical="top" wrapText="1"/>
      <protection locked="0"/>
    </xf>
    <xf numFmtId="0" fontId="15" fillId="0" borderId="0" xfId="0" applyFont="1" applyAlignment="1" applyProtection="1">
      <alignment vertical="top" wrapText="1"/>
      <protection locked="0"/>
    </xf>
    <xf numFmtId="0" fontId="15" fillId="0" borderId="18" xfId="0" applyFont="1" applyBorder="1" applyAlignment="1" applyProtection="1">
      <alignment vertical="top" wrapText="1"/>
      <protection locked="0"/>
    </xf>
    <xf numFmtId="0" fontId="15" fillId="0" borderId="4" xfId="0" applyFont="1" applyBorder="1" applyAlignment="1" applyProtection="1">
      <alignment vertical="top" wrapText="1"/>
      <protection locked="0"/>
    </xf>
    <xf numFmtId="0" fontId="15" fillId="0" borderId="8" xfId="0" applyFont="1" applyBorder="1" applyAlignment="1" applyProtection="1">
      <alignment vertical="top" wrapText="1"/>
      <protection locked="0"/>
    </xf>
    <xf numFmtId="0" fontId="15" fillId="0" borderId="37" xfId="0" applyFont="1" applyBorder="1" applyAlignment="1" applyProtection="1">
      <alignment vertical="top" wrapText="1"/>
      <protection locked="0"/>
    </xf>
    <xf numFmtId="0" fontId="15" fillId="0" borderId="12" xfId="0" applyFont="1" applyBorder="1" applyAlignment="1" applyProtection="1">
      <alignment vertical="top" wrapText="1"/>
      <protection locked="0"/>
    </xf>
    <xf numFmtId="0" fontId="15" fillId="0" borderId="6" xfId="0" applyFont="1" applyBorder="1" applyAlignment="1" applyProtection="1">
      <alignment vertical="top" wrapText="1"/>
      <protection locked="0"/>
    </xf>
    <xf numFmtId="0" fontId="15" fillId="0" borderId="13" xfId="0" applyFont="1" applyBorder="1" applyAlignment="1" applyProtection="1">
      <alignment vertical="top" wrapText="1"/>
      <protection locked="0"/>
    </xf>
    <xf numFmtId="0" fontId="4" fillId="2" borderId="7" xfId="0" applyFont="1" applyFill="1" applyBorder="1" applyAlignment="1" applyProtection="1">
      <alignment horizontal="center" vertical="center"/>
      <protection locked="0"/>
    </xf>
    <xf numFmtId="0" fontId="4" fillId="2" borderId="22" xfId="0" applyFont="1" applyFill="1" applyBorder="1" applyAlignment="1" applyProtection="1">
      <alignment horizontal="center" vertical="center"/>
      <protection locked="0"/>
    </xf>
    <xf numFmtId="0" fontId="1" fillId="4" borderId="7" xfId="0" applyFont="1" applyFill="1" applyBorder="1" applyAlignment="1">
      <alignment horizontal="center" vertical="center"/>
    </xf>
    <xf numFmtId="0" fontId="1" fillId="4" borderId="21"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2"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1" fillId="4" borderId="31"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36"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0" xfId="0" applyFont="1" applyFill="1" applyAlignment="1">
      <alignment horizontal="center" vertical="center"/>
    </xf>
    <xf numFmtId="0" fontId="1" fillId="4" borderId="18" xfId="0" applyFont="1" applyFill="1" applyBorder="1" applyAlignment="1">
      <alignment horizontal="center" vertical="center"/>
    </xf>
    <xf numFmtId="0" fontId="1" fillId="4" borderId="32"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37" xfId="0" applyFont="1" applyFill="1" applyBorder="1" applyAlignment="1">
      <alignment horizontal="center" vertical="center"/>
    </xf>
    <xf numFmtId="0" fontId="7" fillId="4" borderId="33" xfId="0" applyFont="1" applyFill="1" applyBorder="1" applyAlignment="1">
      <alignment horizontal="center" vertical="center"/>
    </xf>
    <xf numFmtId="0" fontId="7" fillId="4" borderId="28" xfId="0" applyFont="1" applyFill="1" applyBorder="1" applyAlignment="1">
      <alignment horizontal="center" vertical="center"/>
    </xf>
    <xf numFmtId="0" fontId="7" fillId="4" borderId="34" xfId="0" applyFont="1" applyFill="1" applyBorder="1" applyAlignment="1">
      <alignment horizontal="center" vertical="center"/>
    </xf>
    <xf numFmtId="0" fontId="3" fillId="3" borderId="32" xfId="0" applyFont="1" applyFill="1" applyBorder="1" applyAlignment="1" applyProtection="1">
      <alignment horizontal="center" vertical="center" shrinkToFit="1"/>
      <protection locked="0"/>
    </xf>
    <xf numFmtId="0" fontId="3" fillId="3" borderId="8" xfId="0" applyFont="1" applyFill="1" applyBorder="1" applyAlignment="1" applyProtection="1">
      <alignment horizontal="center" vertical="center" shrinkToFit="1"/>
      <protection locked="0"/>
    </xf>
    <xf numFmtId="0" fontId="3" fillId="3" borderId="37" xfId="0" applyFont="1" applyFill="1" applyBorder="1" applyAlignment="1" applyProtection="1">
      <alignment horizontal="center" vertical="center" shrinkToFi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3" fillId="0" borderId="8" xfId="0" applyFont="1" applyBorder="1" applyAlignment="1" applyProtection="1">
      <alignment horizontal="center" vertical="center"/>
      <protection locked="0"/>
    </xf>
    <xf numFmtId="56" fontId="3" fillId="0" borderId="2" xfId="0" applyNumberFormat="1" applyFont="1" applyBorder="1" applyAlignment="1" applyProtection="1">
      <alignment vertical="top" wrapText="1"/>
      <protection locked="0"/>
    </xf>
    <xf numFmtId="56" fontId="3" fillId="0" borderId="5" xfId="0" applyNumberFormat="1" applyFont="1" applyBorder="1" applyAlignment="1" applyProtection="1">
      <alignment vertical="top" wrapText="1"/>
      <protection locked="0"/>
    </xf>
    <xf numFmtId="56" fontId="3" fillId="0" borderId="12" xfId="0" applyNumberFormat="1" applyFont="1" applyBorder="1" applyAlignment="1" applyProtection="1">
      <alignment vertical="top" wrapText="1"/>
      <protection locked="0"/>
    </xf>
    <xf numFmtId="56" fontId="3" fillId="0" borderId="3" xfId="0" applyNumberFormat="1" applyFont="1" applyBorder="1" applyAlignment="1" applyProtection="1">
      <alignment vertical="top" wrapText="1"/>
      <protection locked="0"/>
    </xf>
    <xf numFmtId="56" fontId="3" fillId="0" borderId="0" xfId="0" applyNumberFormat="1" applyFont="1" applyAlignment="1" applyProtection="1">
      <alignment vertical="top" wrapText="1"/>
      <protection locked="0"/>
    </xf>
    <xf numFmtId="56" fontId="3" fillId="0" borderId="6" xfId="0" applyNumberFormat="1" applyFont="1" applyBorder="1" applyAlignment="1" applyProtection="1">
      <alignment vertical="top" wrapText="1"/>
      <protection locked="0"/>
    </xf>
    <xf numFmtId="56" fontId="3" fillId="0" borderId="4" xfId="0" applyNumberFormat="1" applyFont="1" applyBorder="1" applyAlignment="1" applyProtection="1">
      <alignment vertical="top" wrapText="1"/>
      <protection locked="0"/>
    </xf>
    <xf numFmtId="56" fontId="3" fillId="0" borderId="8" xfId="0" applyNumberFormat="1" applyFont="1" applyBorder="1" applyAlignment="1" applyProtection="1">
      <alignment vertical="top" wrapText="1"/>
      <protection locked="0"/>
    </xf>
    <xf numFmtId="56" fontId="3" fillId="0" borderId="13" xfId="0" applyNumberFormat="1" applyFont="1" applyBorder="1" applyAlignment="1" applyProtection="1">
      <alignment vertical="top" wrapText="1"/>
      <protection locked="0"/>
    </xf>
    <xf numFmtId="0" fontId="15" fillId="5" borderId="2" xfId="0" applyFont="1" applyFill="1" applyBorder="1" applyAlignment="1" applyProtection="1">
      <alignment horizontal="center" vertical="center" wrapText="1"/>
      <protection locked="0"/>
    </xf>
    <xf numFmtId="0" fontId="15" fillId="5" borderId="5" xfId="0" applyFont="1" applyFill="1" applyBorder="1" applyAlignment="1" applyProtection="1">
      <alignment horizontal="center" vertical="center" wrapText="1"/>
      <protection locked="0"/>
    </xf>
    <xf numFmtId="0" fontId="15" fillId="5" borderId="4" xfId="0" applyFont="1" applyFill="1" applyBorder="1" applyAlignment="1" applyProtection="1">
      <alignment horizontal="center" vertical="center" wrapText="1"/>
      <protection locked="0"/>
    </xf>
    <xf numFmtId="0" fontId="15" fillId="5" borderId="8" xfId="0" applyFont="1" applyFill="1" applyBorder="1" applyAlignment="1" applyProtection="1">
      <alignment horizontal="center" vertical="center" wrapText="1"/>
      <protection locked="0"/>
    </xf>
    <xf numFmtId="0" fontId="15" fillId="5" borderId="13" xfId="0" applyFont="1" applyFill="1" applyBorder="1" applyAlignment="1" applyProtection="1">
      <alignment horizontal="center" vertical="center" wrapText="1"/>
      <protection locked="0"/>
    </xf>
    <xf numFmtId="0" fontId="3" fillId="3" borderId="14" xfId="0" applyFont="1" applyFill="1" applyBorder="1" applyAlignment="1" applyProtection="1">
      <alignment horizontal="center" vertical="center" shrinkToFit="1"/>
      <protection locked="0"/>
    </xf>
    <xf numFmtId="0" fontId="3" fillId="3" borderId="15" xfId="0" applyFont="1" applyFill="1" applyBorder="1" applyAlignment="1" applyProtection="1">
      <alignment horizontal="center" vertical="center" shrinkToFit="1"/>
      <protection locked="0"/>
    </xf>
    <xf numFmtId="0" fontId="3" fillId="3" borderId="16" xfId="0" applyFont="1" applyFill="1" applyBorder="1" applyAlignment="1" applyProtection="1">
      <alignment horizontal="center" vertical="center" shrinkToFit="1"/>
      <protection locked="0"/>
    </xf>
    <xf numFmtId="56" fontId="3" fillId="0" borderId="9" xfId="0" applyNumberFormat="1" applyFont="1" applyBorder="1" applyAlignment="1" applyProtection="1">
      <alignment vertical="top" wrapText="1"/>
      <protection locked="0"/>
    </xf>
    <xf numFmtId="56" fontId="3" fillId="0" borderId="10" xfId="0" applyNumberFormat="1" applyFont="1" applyBorder="1" applyAlignment="1" applyProtection="1">
      <alignment vertical="top" wrapText="1"/>
      <protection locked="0"/>
    </xf>
    <xf numFmtId="56" fontId="3" fillId="0" borderId="11" xfId="0" applyNumberFormat="1" applyFont="1" applyBorder="1" applyAlignment="1" applyProtection="1">
      <alignment vertical="top" wrapText="1"/>
      <protection locked="0"/>
    </xf>
    <xf numFmtId="0" fontId="0" fillId="0" borderId="2" xfId="0" applyBorder="1" applyAlignment="1">
      <alignment horizontal="center" vertical="center" wrapText="1"/>
    </xf>
    <xf numFmtId="0" fontId="0" fillId="0" borderId="5" xfId="0" applyBorder="1" applyAlignment="1">
      <alignment horizontal="center" vertical="center" wrapText="1"/>
    </xf>
    <xf numFmtId="0" fontId="0" fillId="0" borderId="1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0" fillId="0" borderId="5" xfId="0" applyBorder="1" applyAlignment="1" applyProtection="1">
      <alignment horizontal="center" vertical="center"/>
      <protection locked="0"/>
    </xf>
    <xf numFmtId="0" fontId="15" fillId="0" borderId="2" xfId="0" applyFont="1" applyBorder="1" applyAlignment="1" applyProtection="1">
      <alignment horizontal="left" vertical="top" wrapText="1"/>
      <protection locked="0"/>
    </xf>
    <xf numFmtId="0" fontId="15" fillId="0" borderId="5" xfId="0" applyFont="1" applyBorder="1" applyAlignment="1" applyProtection="1">
      <alignment horizontal="left" vertical="top" wrapText="1"/>
      <protection locked="0"/>
    </xf>
    <xf numFmtId="0" fontId="15" fillId="0" borderId="12" xfId="0" applyFont="1" applyBorder="1" applyAlignment="1" applyProtection="1">
      <alignment horizontal="left" vertical="top" wrapText="1"/>
      <protection locked="0"/>
    </xf>
    <xf numFmtId="0" fontId="15" fillId="0" borderId="3" xfId="0" applyFont="1" applyBorder="1" applyAlignment="1" applyProtection="1">
      <alignment horizontal="left" vertical="top" wrapText="1"/>
      <protection locked="0"/>
    </xf>
    <xf numFmtId="0" fontId="15" fillId="0" borderId="0" xfId="0" applyFont="1" applyAlignment="1" applyProtection="1">
      <alignment horizontal="left" vertical="top" wrapText="1"/>
      <protection locked="0"/>
    </xf>
    <xf numFmtId="0" fontId="15" fillId="0" borderId="6" xfId="0" applyFont="1" applyBorder="1" applyAlignment="1" applyProtection="1">
      <alignment horizontal="left" vertical="top" wrapText="1"/>
      <protection locked="0"/>
    </xf>
    <xf numFmtId="0" fontId="15" fillId="0" borderId="4" xfId="0" applyFont="1" applyBorder="1" applyAlignment="1" applyProtection="1">
      <alignment horizontal="left" vertical="top" wrapText="1"/>
      <protection locked="0"/>
    </xf>
    <xf numFmtId="0" fontId="15" fillId="0" borderId="8" xfId="0" applyFont="1" applyBorder="1" applyAlignment="1" applyProtection="1">
      <alignment horizontal="left" vertical="top" wrapText="1"/>
      <protection locked="0"/>
    </xf>
    <xf numFmtId="0" fontId="15" fillId="0" borderId="13" xfId="0" applyFont="1"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1" fillId="0" borderId="5" xfId="0" applyFont="1" applyBorder="1" applyAlignment="1" applyProtection="1">
      <alignment horizontal="left" vertical="top" wrapText="1"/>
      <protection locked="0"/>
    </xf>
    <xf numFmtId="0" fontId="1" fillId="0" borderId="12"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0" xfId="0" applyFont="1" applyAlignment="1" applyProtection="1">
      <alignment horizontal="left" vertical="top" wrapText="1"/>
      <protection locked="0"/>
    </xf>
    <xf numFmtId="0" fontId="1" fillId="0" borderId="6" xfId="0" applyFont="1" applyBorder="1" applyAlignment="1" applyProtection="1">
      <alignment horizontal="left" vertical="top" wrapText="1"/>
      <protection locked="0"/>
    </xf>
    <xf numFmtId="0" fontId="1" fillId="0" borderId="4" xfId="0" applyFont="1" applyBorder="1" applyAlignment="1" applyProtection="1">
      <alignment horizontal="left" vertical="top" wrapText="1"/>
      <protection locked="0"/>
    </xf>
    <xf numFmtId="0" fontId="1" fillId="0" borderId="8"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6" fillId="0" borderId="7" xfId="0" applyFont="1" applyBorder="1" applyAlignment="1" applyProtection="1">
      <alignment horizontal="center" vertical="center" shrinkToFit="1"/>
      <protection locked="0"/>
    </xf>
    <xf numFmtId="0" fontId="6" fillId="0" borderId="21"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1" fillId="8" borderId="2" xfId="0" applyFont="1" applyFill="1" applyBorder="1" applyAlignment="1" applyProtection="1">
      <alignment horizontal="center" vertical="center"/>
      <protection locked="0"/>
    </xf>
    <xf numFmtId="0" fontId="1" fillId="8" borderId="5" xfId="0" applyFont="1" applyFill="1" applyBorder="1" applyAlignment="1" applyProtection="1">
      <alignment horizontal="center" vertical="center"/>
      <protection locked="0"/>
    </xf>
    <xf numFmtId="0" fontId="1" fillId="8" borderId="12" xfId="0" applyFont="1" applyFill="1" applyBorder="1" applyAlignment="1" applyProtection="1">
      <alignment horizontal="center" vertical="center"/>
      <protection locked="0"/>
    </xf>
    <xf numFmtId="14" fontId="15" fillId="6" borderId="11" xfId="0" applyNumberFormat="1" applyFont="1" applyFill="1" applyBorder="1" applyAlignment="1" applyProtection="1">
      <alignment horizontal="center" vertical="center" wrapText="1"/>
      <protection locked="0"/>
    </xf>
    <xf numFmtId="14" fontId="15" fillId="6" borderId="1" xfId="0" applyNumberFormat="1" applyFont="1" applyFill="1" applyBorder="1" applyAlignment="1" applyProtection="1">
      <alignment horizontal="center" vertical="center" wrapText="1"/>
      <protection locked="0"/>
    </xf>
    <xf numFmtId="14" fontId="15" fillId="0" borderId="1" xfId="0" applyNumberFormat="1" applyFont="1" applyBorder="1" applyAlignment="1" applyProtection="1">
      <alignment horizontal="center" vertical="center" wrapText="1"/>
      <protection locked="0"/>
    </xf>
    <xf numFmtId="14" fontId="15" fillId="0" borderId="42" xfId="0" applyNumberFormat="1" applyFont="1" applyBorder="1" applyAlignment="1" applyProtection="1">
      <alignment horizontal="center" vertical="center" wrapText="1"/>
      <protection locked="0"/>
    </xf>
    <xf numFmtId="0" fontId="3" fillId="3" borderId="7" xfId="0" applyFont="1" applyFill="1" applyBorder="1" applyAlignment="1" applyProtection="1">
      <alignment horizontal="center" vertical="center" shrinkToFit="1"/>
      <protection locked="0"/>
    </xf>
    <xf numFmtId="0" fontId="3" fillId="3" borderId="21" xfId="0" applyFont="1" applyFill="1" applyBorder="1" applyAlignment="1" applyProtection="1">
      <alignment horizontal="center" vertical="center" shrinkToFit="1"/>
      <protection locked="0"/>
    </xf>
    <xf numFmtId="0" fontId="3" fillId="3" borderId="26" xfId="0" applyFont="1" applyFill="1" applyBorder="1" applyAlignment="1" applyProtection="1">
      <alignment horizontal="center" vertical="center" shrinkToFit="1"/>
      <protection locked="0"/>
    </xf>
    <xf numFmtId="14" fontId="15" fillId="0" borderId="24" xfId="0" applyNumberFormat="1" applyFont="1" applyBorder="1" applyAlignment="1" applyProtection="1">
      <alignment horizontal="center" vertical="center" wrapText="1"/>
      <protection locked="0"/>
    </xf>
    <xf numFmtId="14" fontId="15" fillId="0" borderId="38" xfId="0" applyNumberFormat="1" applyFont="1" applyBorder="1" applyAlignment="1" applyProtection="1">
      <alignment horizontal="center" vertical="center" wrapText="1"/>
      <protection locked="0"/>
    </xf>
    <xf numFmtId="14" fontId="15" fillId="0" borderId="25" xfId="0" applyNumberFormat="1" applyFont="1" applyBorder="1" applyAlignment="1" applyProtection="1">
      <alignment horizontal="center" vertical="center" wrapText="1"/>
      <protection locked="0"/>
    </xf>
    <xf numFmtId="0" fontId="4" fillId="0" borderId="1" xfId="0" applyFont="1" applyBorder="1" applyAlignment="1" applyProtection="1">
      <alignment horizontal="center" vertical="center"/>
      <protection locked="0"/>
    </xf>
    <xf numFmtId="0" fontId="3" fillId="3" borderId="22" xfId="0" applyFont="1" applyFill="1" applyBorder="1" applyAlignment="1" applyProtection="1">
      <alignment horizontal="center" vertical="center" shrinkToFit="1"/>
      <protection locked="0"/>
    </xf>
    <xf numFmtId="0" fontId="3" fillId="2" borderId="4" xfId="0" applyFont="1" applyFill="1" applyBorder="1" applyAlignment="1" applyProtection="1">
      <alignment horizontal="center" vertical="center" shrinkToFit="1"/>
      <protection locked="0"/>
    </xf>
    <xf numFmtId="0" fontId="3" fillId="2" borderId="8"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5" borderId="4" xfId="0" applyFont="1" applyFill="1" applyBorder="1" applyAlignment="1" applyProtection="1">
      <alignment horizontal="center" vertical="center" shrinkToFit="1"/>
      <protection locked="0"/>
    </xf>
    <xf numFmtId="0" fontId="3" fillId="5" borderId="8" xfId="0" applyFont="1" applyFill="1" applyBorder="1" applyAlignment="1" applyProtection="1">
      <alignment horizontal="center" vertical="center" shrinkToFit="1"/>
      <protection locked="0"/>
    </xf>
    <xf numFmtId="0" fontId="3" fillId="5" borderId="13" xfId="0" applyFont="1" applyFill="1" applyBorder="1" applyAlignment="1" applyProtection="1">
      <alignment horizontal="center" vertical="center" shrinkToFit="1"/>
      <protection locked="0"/>
    </xf>
    <xf numFmtId="0" fontId="3" fillId="3" borderId="4" xfId="0" applyFont="1" applyFill="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6" fillId="0" borderId="4" xfId="0" applyFont="1" applyBorder="1" applyAlignment="1" applyProtection="1">
      <alignment horizontal="center" vertical="center" shrinkToFit="1"/>
      <protection locked="0"/>
    </xf>
    <xf numFmtId="0" fontId="6" fillId="0" borderId="8"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3" fillId="0" borderId="0" xfId="0" applyFont="1" applyAlignment="1" applyProtection="1">
      <alignment horizontal="left" wrapText="1"/>
      <protection locked="0"/>
    </xf>
    <xf numFmtId="0" fontId="3" fillId="5" borderId="2"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1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3" fillId="5" borderId="0" xfId="0" applyFont="1" applyFill="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top" wrapText="1"/>
      <protection locked="0"/>
    </xf>
    <xf numFmtId="14" fontId="15" fillId="0" borderId="11" xfId="0" applyNumberFormat="1" applyFont="1" applyBorder="1" applyAlignment="1" applyProtection="1">
      <alignment horizontal="center" vertical="center" wrapText="1"/>
      <protection locked="0"/>
    </xf>
    <xf numFmtId="14" fontId="15" fillId="0" borderId="39" xfId="0" applyNumberFormat="1" applyFont="1" applyBorder="1" applyAlignment="1" applyProtection="1">
      <alignment horizontal="center" vertical="center" wrapText="1"/>
      <protection locked="0"/>
    </xf>
    <xf numFmtId="14" fontId="15" fillId="0" borderId="40" xfId="0" applyNumberFormat="1" applyFont="1" applyBorder="1" applyAlignment="1" applyProtection="1">
      <alignment horizontal="center" vertical="center" wrapText="1"/>
      <protection locked="0"/>
    </xf>
    <xf numFmtId="14" fontId="15" fillId="0" borderId="41" xfId="0" applyNumberFormat="1" applyFont="1" applyBorder="1" applyAlignment="1" applyProtection="1">
      <alignment horizontal="center" vertical="center" wrapText="1"/>
      <protection locked="0"/>
    </xf>
    <xf numFmtId="0" fontId="32" fillId="0" borderId="21" xfId="0" applyFont="1" applyBorder="1" applyAlignment="1" applyProtection="1">
      <alignment horizontal="center" vertical="center" shrinkToFit="1"/>
      <protection locked="0"/>
    </xf>
    <xf numFmtId="0" fontId="3" fillId="5" borderId="2" xfId="0" applyFont="1" applyFill="1" applyBorder="1" applyAlignment="1" applyProtection="1">
      <alignment horizontal="center" vertical="center"/>
      <protection locked="0"/>
    </xf>
    <xf numFmtId="0" fontId="1" fillId="5" borderId="5" xfId="0" applyFont="1" applyFill="1" applyBorder="1" applyAlignment="1" applyProtection="1">
      <alignment horizontal="center" vertical="center"/>
      <protection locked="0"/>
    </xf>
    <xf numFmtId="0" fontId="1" fillId="5" borderId="12" xfId="0" applyFont="1" applyFill="1" applyBorder="1" applyAlignment="1" applyProtection="1">
      <alignment horizontal="center" vertical="center"/>
      <protection locked="0"/>
    </xf>
    <xf numFmtId="0" fontId="1" fillId="5" borderId="3" xfId="0" applyFont="1" applyFill="1" applyBorder="1" applyAlignment="1" applyProtection="1">
      <alignment horizontal="center" vertical="center"/>
      <protection locked="0"/>
    </xf>
    <xf numFmtId="0" fontId="1" fillId="5" borderId="0" xfId="0" applyFont="1" applyFill="1" applyAlignment="1" applyProtection="1">
      <alignment horizontal="center" vertical="center"/>
      <protection locked="0"/>
    </xf>
    <xf numFmtId="0" fontId="1" fillId="5" borderId="6" xfId="0" applyFont="1" applyFill="1" applyBorder="1" applyAlignment="1" applyProtection="1">
      <alignment horizontal="center" vertical="center"/>
      <protection locked="0"/>
    </xf>
    <xf numFmtId="0" fontId="3" fillId="0" borderId="2"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13" xfId="0" applyFont="1" applyBorder="1" applyAlignment="1">
      <alignment horizontal="center" vertical="center" shrinkToFit="1"/>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0" fontId="1" fillId="0" borderId="5" xfId="0" applyFont="1" applyBorder="1" applyAlignment="1">
      <alignment horizontal="center" vertical="center" shrinkToFit="1"/>
    </xf>
    <xf numFmtId="0" fontId="1" fillId="0" borderId="4" xfId="0" applyFont="1" applyBorder="1" applyAlignment="1">
      <alignment horizontal="center" vertical="center" shrinkToFit="1"/>
    </xf>
    <xf numFmtId="0" fontId="1" fillId="0" borderId="8" xfId="0" applyFont="1" applyBorder="1" applyAlignment="1">
      <alignment horizontal="center" vertical="center" shrinkToFit="1"/>
    </xf>
    <xf numFmtId="0" fontId="4" fillId="0" borderId="5" xfId="0" applyFont="1" applyBorder="1" applyAlignment="1">
      <alignment horizontal="center" vertical="center" shrinkToFit="1"/>
    </xf>
    <xf numFmtId="0" fontId="4" fillId="0" borderId="8" xfId="0" applyFont="1" applyBorder="1" applyAlignment="1">
      <alignment horizontal="center" vertical="center" shrinkToFit="1"/>
    </xf>
    <xf numFmtId="0" fontId="4" fillId="0" borderId="11"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177" fontId="6" fillId="0" borderId="7" xfId="0" applyNumberFormat="1" applyFont="1" applyBorder="1" applyAlignment="1" applyProtection="1">
      <alignment horizontal="center" vertical="center" shrinkToFit="1"/>
      <protection locked="0"/>
    </xf>
    <xf numFmtId="177" fontId="6" fillId="0" borderId="21" xfId="0" applyNumberFormat="1" applyFont="1" applyBorder="1" applyAlignment="1" applyProtection="1">
      <alignment horizontal="center" vertical="center" shrinkToFit="1"/>
      <protection locked="0"/>
    </xf>
    <xf numFmtId="177" fontId="6" fillId="0" borderId="22" xfId="0" applyNumberFormat="1"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14" fontId="15" fillId="6" borderId="39" xfId="0" applyNumberFormat="1" applyFont="1" applyFill="1" applyBorder="1" applyAlignment="1" applyProtection="1">
      <alignment horizontal="center" vertical="center" wrapText="1"/>
      <protection locked="0"/>
    </xf>
    <xf numFmtId="14" fontId="15" fillId="6" borderId="40" xfId="0" applyNumberFormat="1" applyFont="1" applyFill="1" applyBorder="1" applyAlignment="1" applyProtection="1">
      <alignment horizontal="center" vertical="center" wrapText="1"/>
      <protection locked="0"/>
    </xf>
    <xf numFmtId="14" fontId="15" fillId="6" borderId="41" xfId="0" applyNumberFormat="1" applyFont="1" applyFill="1" applyBorder="1" applyAlignment="1" applyProtection="1">
      <alignment horizontal="center" vertical="center" wrapText="1"/>
      <protection locked="0"/>
    </xf>
    <xf numFmtId="0" fontId="48" fillId="0" borderId="0" xfId="0" applyFont="1" applyAlignment="1" applyProtection="1">
      <alignment horizontal="left" vertical="top" wrapText="1"/>
      <protection locked="0"/>
    </xf>
    <xf numFmtId="0" fontId="15" fillId="0" borderId="1" xfId="0" applyFont="1" applyBorder="1" applyAlignment="1" applyProtection="1">
      <alignment vertical="top" wrapText="1"/>
      <protection locked="0"/>
    </xf>
    <xf numFmtId="0" fontId="3" fillId="3" borderId="1" xfId="0" applyFont="1" applyFill="1" applyBorder="1" applyAlignment="1" applyProtection="1">
      <alignment horizontal="center" vertical="center" shrinkToFit="1"/>
      <protection locked="0"/>
    </xf>
    <xf numFmtId="0" fontId="15" fillId="0" borderId="1" xfId="0" applyFont="1" applyBorder="1" applyAlignment="1" applyProtection="1">
      <alignment horizontal="center" vertical="center" shrinkToFit="1"/>
      <protection locked="0"/>
    </xf>
    <xf numFmtId="0" fontId="3" fillId="3" borderId="1" xfId="0" applyFont="1" applyFill="1" applyBorder="1" applyAlignment="1" applyProtection="1">
      <alignment horizontal="center" vertical="center"/>
      <protection locked="0"/>
    </xf>
    <xf numFmtId="0" fontId="3" fillId="3" borderId="35"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21" xfId="0" applyFont="1" applyFill="1" applyBorder="1" applyAlignment="1" applyProtection="1">
      <alignment horizontal="center" vertical="center"/>
      <protection locked="0"/>
    </xf>
    <xf numFmtId="0" fontId="3" fillId="2" borderId="22" xfId="0" applyFont="1" applyFill="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12"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28" fillId="0" borderId="7" xfId="0" quotePrefix="1" applyFont="1" applyBorder="1" applyAlignment="1" applyProtection="1">
      <alignment horizontal="center" vertical="center"/>
      <protection locked="0"/>
    </xf>
    <xf numFmtId="0" fontId="28" fillId="0" borderId="21" xfId="0" quotePrefix="1" applyFont="1" applyBorder="1" applyAlignment="1" applyProtection="1">
      <alignment horizontal="center" vertical="center"/>
      <protection locked="0"/>
    </xf>
    <xf numFmtId="0" fontId="28" fillId="0" borderId="22" xfId="0" quotePrefix="1" applyFont="1" applyBorder="1" applyAlignment="1" applyProtection="1">
      <alignment horizontal="center" vertical="center"/>
      <protection locked="0"/>
    </xf>
    <xf numFmtId="9" fontId="15" fillId="0" borderId="2" xfId="0" quotePrefix="1" applyNumberFormat="1" applyFont="1" applyBorder="1" applyAlignment="1" applyProtection="1">
      <alignment horizontal="left" vertical="center" wrapText="1"/>
      <protection locked="0"/>
    </xf>
    <xf numFmtId="9" fontId="15" fillId="0" borderId="5" xfId="0" quotePrefix="1" applyNumberFormat="1" applyFont="1" applyBorder="1" applyAlignment="1" applyProtection="1">
      <alignment horizontal="left" vertical="center" wrapText="1"/>
      <protection locked="0"/>
    </xf>
    <xf numFmtId="9" fontId="15" fillId="0" borderId="12" xfId="0" quotePrefix="1" applyNumberFormat="1" applyFont="1" applyBorder="1" applyAlignment="1" applyProtection="1">
      <alignment horizontal="left" vertical="center" wrapText="1"/>
      <protection locked="0"/>
    </xf>
    <xf numFmtId="9" fontId="15" fillId="0" borderId="4" xfId="0" quotePrefix="1" applyNumberFormat="1" applyFont="1" applyBorder="1" applyAlignment="1" applyProtection="1">
      <alignment horizontal="left" vertical="center" wrapText="1"/>
      <protection locked="0"/>
    </xf>
    <xf numFmtId="9" fontId="15" fillId="0" borderId="8" xfId="0" quotePrefix="1" applyNumberFormat="1" applyFont="1" applyBorder="1" applyAlignment="1" applyProtection="1">
      <alignment horizontal="left" vertical="center" wrapText="1"/>
      <protection locked="0"/>
    </xf>
    <xf numFmtId="9" fontId="15" fillId="0" borderId="13" xfId="0" quotePrefix="1" applyNumberFormat="1" applyFont="1" applyBorder="1" applyAlignment="1" applyProtection="1">
      <alignment horizontal="left" vertical="center" wrapText="1"/>
      <protection locked="0"/>
    </xf>
    <xf numFmtId="0" fontId="15" fillId="0" borderId="7" xfId="0" applyFont="1" applyBorder="1" applyAlignment="1" applyProtection="1">
      <alignment vertical="top" wrapText="1"/>
      <protection locked="0"/>
    </xf>
    <xf numFmtId="0" fontId="15" fillId="0" borderId="21" xfId="0" applyFont="1" applyBorder="1" applyAlignment="1" applyProtection="1">
      <alignment vertical="top" wrapText="1"/>
      <protection locked="0"/>
    </xf>
    <xf numFmtId="0" fontId="15" fillId="0" borderId="22" xfId="0" applyFont="1" applyBorder="1" applyAlignment="1" applyProtection="1">
      <alignment vertical="top" wrapText="1"/>
      <protection locked="0"/>
    </xf>
    <xf numFmtId="0" fontId="15" fillId="0" borderId="31" xfId="0" applyFont="1" applyBorder="1" applyAlignment="1" applyProtection="1">
      <alignment vertical="top" wrapText="1"/>
      <protection locked="0"/>
    </xf>
    <xf numFmtId="0" fontId="15" fillId="0" borderId="17" xfId="0" applyFont="1" applyBorder="1" applyAlignment="1" applyProtection="1">
      <alignment vertical="top" wrapText="1"/>
      <protection locked="0"/>
    </xf>
    <xf numFmtId="0" fontId="15" fillId="0" borderId="32" xfId="0" applyFont="1" applyBorder="1" applyAlignment="1" applyProtection="1">
      <alignment vertical="top" wrapText="1"/>
      <protection locked="0"/>
    </xf>
    <xf numFmtId="0" fontId="4" fillId="0" borderId="2"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12" xfId="0" applyFont="1" applyBorder="1" applyAlignment="1" applyProtection="1">
      <alignment horizontal="left" vertical="center" wrapText="1"/>
      <protection locked="0"/>
    </xf>
    <xf numFmtId="0" fontId="4" fillId="0" borderId="3" xfId="0" applyFont="1" applyBorder="1" applyAlignment="1" applyProtection="1">
      <alignment horizontal="left" vertical="center" wrapText="1"/>
      <protection locked="0"/>
    </xf>
    <xf numFmtId="0" fontId="4" fillId="0" borderId="0" xfId="0" applyFont="1" applyAlignment="1" applyProtection="1">
      <alignment horizontal="left" vertical="center" wrapText="1"/>
      <protection locked="0"/>
    </xf>
    <xf numFmtId="0" fontId="4" fillId="0" borderId="6"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4" fillId="0" borderId="13" xfId="0" applyFont="1" applyBorder="1" applyAlignment="1" applyProtection="1">
      <alignment horizontal="left" vertical="center" wrapText="1"/>
      <protection locked="0"/>
    </xf>
    <xf numFmtId="0" fontId="3" fillId="0" borderId="2" xfId="0" applyFont="1"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3" fillId="0" borderId="3" xfId="0" applyFont="1" applyBorder="1" applyAlignment="1" applyProtection="1">
      <alignment horizontal="center" vertical="center" shrinkToFit="1"/>
      <protection locked="0"/>
    </xf>
    <xf numFmtId="0" fontId="3" fillId="0" borderId="6"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13" xfId="0" applyFont="1" applyBorder="1" applyAlignment="1" applyProtection="1">
      <alignment horizontal="center" vertical="center" shrinkToFit="1"/>
      <protection locked="0"/>
    </xf>
    <xf numFmtId="0" fontId="15" fillId="0" borderId="1" xfId="0" quotePrefix="1" applyFont="1" applyBorder="1" applyAlignment="1" applyProtection="1">
      <alignment horizontal="center" vertical="center" shrinkToFit="1"/>
      <protection locked="0"/>
    </xf>
    <xf numFmtId="0" fontId="1" fillId="4" borderId="27" xfId="0" applyFont="1" applyFill="1" applyBorder="1" applyAlignment="1">
      <alignment horizontal="center" vertical="center"/>
    </xf>
    <xf numFmtId="0" fontId="1" fillId="4" borderId="26" xfId="0" applyFont="1" applyFill="1" applyBorder="1" applyAlignment="1">
      <alignment horizontal="center" vertical="center"/>
    </xf>
    <xf numFmtId="0" fontId="4" fillId="0" borderId="7"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15" fillId="0" borderId="1" xfId="0" quotePrefix="1" applyFont="1" applyBorder="1" applyAlignment="1" applyProtection="1">
      <alignment horizontal="center" vertical="center"/>
      <protection locked="0"/>
    </xf>
    <xf numFmtId="0" fontId="15" fillId="0" borderId="2" xfId="0" applyFont="1" applyBorder="1" applyAlignment="1" applyProtection="1">
      <alignment horizontal="left" vertical="center" wrapText="1"/>
      <protection locked="0"/>
    </xf>
    <xf numFmtId="0" fontId="15" fillId="0" borderId="5" xfId="0" applyFont="1" applyBorder="1" applyAlignment="1" applyProtection="1">
      <alignment horizontal="left" vertical="center" wrapText="1"/>
      <protection locked="0"/>
    </xf>
    <xf numFmtId="0" fontId="15" fillId="0" borderId="12" xfId="0" applyFont="1" applyBorder="1" applyAlignment="1" applyProtection="1">
      <alignment horizontal="left" vertical="center" wrapText="1"/>
      <protection locked="0"/>
    </xf>
    <xf numFmtId="0" fontId="15" fillId="0" borderId="4" xfId="0" applyFont="1" applyBorder="1" applyAlignment="1" applyProtection="1">
      <alignment horizontal="left" vertical="center" wrapText="1"/>
      <protection locked="0"/>
    </xf>
    <xf numFmtId="0" fontId="15" fillId="0" borderId="8" xfId="0" applyFont="1" applyBorder="1" applyAlignment="1" applyProtection="1">
      <alignment horizontal="left" vertical="center" wrapText="1"/>
      <protection locked="0"/>
    </xf>
    <xf numFmtId="0" fontId="15" fillId="0" borderId="13" xfId="0" applyFont="1" applyBorder="1" applyAlignment="1" applyProtection="1">
      <alignment horizontal="left" vertical="center" wrapText="1"/>
      <protection locked="0"/>
    </xf>
    <xf numFmtId="0" fontId="4" fillId="0" borderId="24"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8" fillId="0" borderId="0" xfId="0" applyFont="1" applyAlignment="1" applyProtection="1">
      <alignment horizontal="left" wrapText="1"/>
      <protection locked="0"/>
    </xf>
    <xf numFmtId="0" fontId="3" fillId="5" borderId="7" xfId="0" applyFont="1" applyFill="1" applyBorder="1" applyAlignment="1" applyProtection="1">
      <alignment horizontal="center" vertical="center" shrinkToFit="1"/>
      <protection locked="0"/>
    </xf>
    <xf numFmtId="0" fontId="3" fillId="5" borderId="21" xfId="0" applyFont="1" applyFill="1" applyBorder="1" applyAlignment="1" applyProtection="1">
      <alignment horizontal="center" vertical="center" shrinkToFit="1"/>
      <protection locked="0"/>
    </xf>
    <xf numFmtId="0" fontId="3" fillId="5" borderId="22" xfId="0" applyFont="1" applyFill="1" applyBorder="1" applyAlignment="1" applyProtection="1">
      <alignment horizontal="center" vertical="center" shrinkToFit="1"/>
      <protection locked="0"/>
    </xf>
    <xf numFmtId="9" fontId="4" fillId="0" borderId="2" xfId="0" quotePrefix="1" applyNumberFormat="1" applyFont="1" applyBorder="1" applyAlignment="1" applyProtection="1">
      <alignment horizontal="center" vertical="center"/>
      <protection locked="0"/>
    </xf>
    <xf numFmtId="9" fontId="4" fillId="0" borderId="12" xfId="0" quotePrefix="1" applyNumberFormat="1" applyFont="1" applyBorder="1" applyAlignment="1" applyProtection="1">
      <alignment horizontal="center" vertical="center"/>
      <protection locked="0"/>
    </xf>
    <xf numFmtId="9" fontId="4" fillId="0" borderId="4" xfId="0" quotePrefix="1" applyNumberFormat="1" applyFont="1" applyBorder="1" applyAlignment="1" applyProtection="1">
      <alignment horizontal="center" vertical="center"/>
      <protection locked="0"/>
    </xf>
    <xf numFmtId="9" fontId="4" fillId="0" borderId="13" xfId="0" quotePrefix="1" applyNumberFormat="1" applyFont="1" applyBorder="1" applyAlignment="1" applyProtection="1">
      <alignment horizontal="center" vertical="center"/>
      <protection locked="0"/>
    </xf>
    <xf numFmtId="0" fontId="3" fillId="5" borderId="5" xfId="0" applyFont="1" applyFill="1" applyBorder="1" applyAlignment="1" applyProtection="1">
      <alignment horizontal="center" vertical="center"/>
      <protection locked="0"/>
    </xf>
    <xf numFmtId="0" fontId="3" fillId="5" borderId="12" xfId="0" applyFont="1" applyFill="1" applyBorder="1" applyAlignment="1" applyProtection="1">
      <alignment horizontal="center" vertical="center"/>
      <protection locked="0"/>
    </xf>
    <xf numFmtId="0" fontId="3" fillId="5" borderId="3" xfId="0" applyFont="1" applyFill="1" applyBorder="1" applyAlignment="1" applyProtection="1">
      <alignment horizontal="center" vertical="center"/>
      <protection locked="0"/>
    </xf>
    <xf numFmtId="0" fontId="3" fillId="5" borderId="0" xfId="0" applyFont="1" applyFill="1" applyAlignment="1" applyProtection="1">
      <alignment horizontal="center" vertical="center"/>
      <protection locked="0"/>
    </xf>
    <xf numFmtId="0" fontId="3" fillId="5" borderId="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3" fillId="3" borderId="22" xfId="0" applyFont="1" applyFill="1" applyBorder="1" applyAlignment="1" applyProtection="1">
      <alignment horizontal="center" vertical="center"/>
      <protection locked="0"/>
    </xf>
    <xf numFmtId="0" fontId="15" fillId="0" borderId="2" xfId="0" quotePrefix="1" applyFont="1" applyBorder="1" applyAlignment="1" applyProtection="1">
      <alignment horizontal="center" vertical="top" wrapText="1"/>
      <protection locked="0"/>
    </xf>
    <xf numFmtId="0" fontId="15" fillId="0" borderId="5" xfId="0" quotePrefix="1" applyFont="1" applyBorder="1" applyAlignment="1" applyProtection="1">
      <alignment horizontal="center" vertical="top" wrapText="1"/>
      <protection locked="0"/>
    </xf>
    <xf numFmtId="0" fontId="15" fillId="0" borderId="12" xfId="0" quotePrefix="1" applyFont="1" applyBorder="1" applyAlignment="1" applyProtection="1">
      <alignment horizontal="center" vertical="top" wrapText="1"/>
      <protection locked="0"/>
    </xf>
    <xf numFmtId="0" fontId="15" fillId="0" borderId="3" xfId="0" quotePrefix="1" applyFont="1" applyBorder="1" applyAlignment="1" applyProtection="1">
      <alignment horizontal="center" vertical="top" wrapText="1"/>
      <protection locked="0"/>
    </xf>
    <xf numFmtId="0" fontId="15" fillId="0" borderId="0" xfId="0" quotePrefix="1" applyFont="1" applyAlignment="1" applyProtection="1">
      <alignment horizontal="center" vertical="top" wrapText="1"/>
      <protection locked="0"/>
    </xf>
    <xf numFmtId="0" fontId="15" fillId="0" borderId="6" xfId="0" quotePrefix="1" applyFont="1" applyBorder="1" applyAlignment="1" applyProtection="1">
      <alignment horizontal="center" vertical="top" wrapText="1"/>
      <protection locked="0"/>
    </xf>
    <xf numFmtId="0" fontId="15" fillId="0" borderId="4" xfId="0" quotePrefix="1" applyFont="1" applyBorder="1" applyAlignment="1" applyProtection="1">
      <alignment horizontal="center" vertical="top" wrapText="1"/>
      <protection locked="0"/>
    </xf>
    <xf numFmtId="0" fontId="15" fillId="0" borderId="8" xfId="0" quotePrefix="1" applyFont="1" applyBorder="1" applyAlignment="1" applyProtection="1">
      <alignment horizontal="center" vertical="top" wrapText="1"/>
      <protection locked="0"/>
    </xf>
    <xf numFmtId="0" fontId="15" fillId="0" borderId="13" xfId="0" quotePrefix="1" applyFont="1" applyBorder="1" applyAlignment="1" applyProtection="1">
      <alignment horizontal="center" vertical="top" wrapText="1"/>
      <protection locked="0"/>
    </xf>
    <xf numFmtId="0" fontId="3" fillId="2" borderId="27" xfId="0" applyFont="1" applyFill="1" applyBorder="1" applyAlignment="1" applyProtection="1">
      <alignment horizontal="center" vertical="center"/>
      <protection locked="0"/>
    </xf>
    <xf numFmtId="0" fontId="15" fillId="0" borderId="35" xfId="0" applyFont="1" applyBorder="1" applyAlignment="1" applyProtection="1">
      <alignment vertical="top" wrapText="1"/>
      <protection locked="0"/>
    </xf>
    <xf numFmtId="0" fontId="3" fillId="0" borderId="2"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3" fillId="0" borderId="6" xfId="0" applyFont="1" applyBorder="1" applyAlignment="1">
      <alignment horizontal="center" vertical="center" wrapText="1"/>
    </xf>
    <xf numFmtId="0" fontId="3" fillId="0" borderId="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7" xfId="0" quotePrefix="1" applyFont="1" applyBorder="1" applyAlignment="1">
      <alignment horizontal="center" vertical="center"/>
    </xf>
    <xf numFmtId="0" fontId="3" fillId="0" borderId="21" xfId="0" quotePrefix="1" applyFont="1" applyBorder="1" applyAlignment="1">
      <alignment horizontal="center" vertical="center"/>
    </xf>
    <xf numFmtId="0" fontId="3" fillId="0" borderId="22" xfId="0" quotePrefix="1" applyFont="1" applyBorder="1" applyAlignment="1">
      <alignment horizontal="center" vertical="center"/>
    </xf>
    <xf numFmtId="0" fontId="3" fillId="0" borderId="7" xfId="0" applyFont="1" applyBorder="1" applyAlignment="1">
      <alignment horizontal="center" vertical="center"/>
    </xf>
    <xf numFmtId="0" fontId="3" fillId="0" borderId="21"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6" fillId="0" borderId="2" xfId="0" applyFont="1" applyBorder="1" applyAlignment="1">
      <alignment horizontal="center" vertical="center" shrinkToFit="1"/>
    </xf>
    <xf numFmtId="0" fontId="6" fillId="0" borderId="5" xfId="0" applyFont="1" applyBorder="1" applyAlignment="1">
      <alignment horizontal="center" vertical="center" shrinkToFit="1"/>
    </xf>
    <xf numFmtId="0" fontId="6" fillId="0" borderId="12" xfId="0" applyFont="1" applyBorder="1" applyAlignment="1">
      <alignment horizontal="center" vertical="center" shrinkToFit="1"/>
    </xf>
    <xf numFmtId="0" fontId="6" fillId="0" borderId="4" xfId="0" applyFont="1" applyBorder="1" applyAlignment="1">
      <alignment horizontal="center" vertical="center" shrinkToFit="1"/>
    </xf>
    <xf numFmtId="0" fontId="6" fillId="0" borderId="8" xfId="0" applyFont="1" applyBorder="1" applyAlignment="1">
      <alignment horizontal="center" vertical="center" shrinkToFit="1"/>
    </xf>
    <xf numFmtId="0" fontId="6" fillId="0" borderId="13" xfId="0" applyFont="1" applyBorder="1" applyAlignment="1">
      <alignment horizontal="center" vertical="center" shrinkToFit="1"/>
    </xf>
    <xf numFmtId="177" fontId="6" fillId="0" borderId="2" xfId="0" applyNumberFormat="1" applyFont="1" applyBorder="1" applyAlignment="1">
      <alignment horizontal="center" vertical="center" shrinkToFit="1"/>
    </xf>
    <xf numFmtId="177" fontId="6" fillId="0" borderId="5" xfId="0" applyNumberFormat="1" applyFont="1" applyBorder="1" applyAlignment="1">
      <alignment horizontal="center" vertical="center" shrinkToFit="1"/>
    </xf>
    <xf numFmtId="177" fontId="6" fillId="0" borderId="12" xfId="0" applyNumberFormat="1" applyFont="1" applyBorder="1" applyAlignment="1">
      <alignment horizontal="center" vertical="center" shrinkToFit="1"/>
    </xf>
    <xf numFmtId="177" fontId="6" fillId="0" borderId="4" xfId="0" applyNumberFormat="1" applyFont="1" applyBorder="1" applyAlignment="1">
      <alignment horizontal="center" vertical="center" shrinkToFit="1"/>
    </xf>
    <xf numFmtId="177" fontId="6" fillId="0" borderId="8" xfId="0" applyNumberFormat="1" applyFont="1" applyBorder="1" applyAlignment="1">
      <alignment horizontal="center" vertical="center" shrinkToFit="1"/>
    </xf>
    <xf numFmtId="177" fontId="6" fillId="0" borderId="13" xfId="0" applyNumberFormat="1" applyFont="1" applyBorder="1" applyAlignment="1">
      <alignment horizontal="center" vertical="center" shrinkToFit="1"/>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4" fillId="0" borderId="12" xfId="0" applyFont="1" applyBorder="1" applyAlignment="1">
      <alignment horizontal="center" vertical="center"/>
    </xf>
    <xf numFmtId="0" fontId="4" fillId="0" borderId="4" xfId="0" applyFont="1" applyBorder="1" applyAlignment="1">
      <alignment horizontal="center" vertical="center"/>
    </xf>
    <xf numFmtId="0" fontId="4" fillId="0" borderId="8" xfId="0" applyFont="1" applyBorder="1" applyAlignment="1">
      <alignment horizontal="center" vertical="center"/>
    </xf>
    <xf numFmtId="0" fontId="4" fillId="0" borderId="13"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12" xfId="0" applyFont="1" applyBorder="1" applyAlignment="1">
      <alignment horizontal="center" vertical="center"/>
    </xf>
    <xf numFmtId="0" fontId="3" fillId="0" borderId="4" xfId="0" applyFont="1" applyBorder="1" applyAlignment="1">
      <alignment horizontal="center" vertical="center"/>
    </xf>
    <xf numFmtId="0" fontId="3" fillId="0" borderId="8" xfId="0" applyFont="1" applyBorder="1" applyAlignment="1">
      <alignment horizontal="center" vertical="center"/>
    </xf>
    <xf numFmtId="0" fontId="3" fillId="0" borderId="13" xfId="0" applyFont="1" applyBorder="1" applyAlignment="1">
      <alignment horizontal="center" vertical="center"/>
    </xf>
    <xf numFmtId="0" fontId="3" fillId="0" borderId="7" xfId="0" applyFont="1" applyBorder="1" applyAlignment="1" applyProtection="1">
      <alignment horizontal="center" vertical="center" shrinkToFit="1"/>
      <protection locked="0"/>
    </xf>
    <xf numFmtId="0" fontId="3" fillId="0" borderId="21" xfId="0" applyFont="1" applyBorder="1" applyAlignment="1" applyProtection="1">
      <alignment horizontal="center" vertical="center" shrinkToFit="1"/>
      <protection locked="0"/>
    </xf>
    <xf numFmtId="0" fontId="3" fillId="0" borderId="22" xfId="0" applyFont="1" applyBorder="1" applyAlignment="1" applyProtection="1">
      <alignment horizontal="center" vertical="center" shrinkToFit="1"/>
      <protection locked="0"/>
    </xf>
    <xf numFmtId="0" fontId="3" fillId="7" borderId="7" xfId="0" applyFont="1" applyFill="1" applyBorder="1" applyAlignment="1" applyProtection="1">
      <alignment horizontal="center" vertical="center" shrinkToFit="1"/>
      <protection locked="0"/>
    </xf>
    <xf numFmtId="0" fontId="3" fillId="7" borderId="21" xfId="0" applyFont="1" applyFill="1" applyBorder="1" applyAlignment="1" applyProtection="1">
      <alignment horizontal="center" vertical="center" shrinkToFit="1"/>
      <protection locked="0"/>
    </xf>
    <xf numFmtId="0" fontId="3" fillId="0" borderId="30"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43" xfId="0" applyFont="1" applyBorder="1" applyAlignment="1" applyProtection="1">
      <alignment horizontal="center" vertical="center" shrinkToFit="1"/>
      <protection locked="0"/>
    </xf>
    <xf numFmtId="0" fontId="3" fillId="5" borderId="5" xfId="0" applyFont="1" applyFill="1" applyBorder="1" applyAlignment="1" applyProtection="1">
      <alignment horizontal="center" vertical="center" shrinkToFit="1"/>
      <protection locked="0"/>
    </xf>
    <xf numFmtId="0" fontId="3" fillId="5" borderId="12" xfId="0" applyFont="1" applyFill="1" applyBorder="1" applyAlignment="1" applyProtection="1">
      <alignment horizontal="center" vertical="center" shrinkToFit="1"/>
      <protection locked="0"/>
    </xf>
    <xf numFmtId="0" fontId="3" fillId="0" borderId="22" xfId="0" applyFont="1" applyBorder="1" applyAlignment="1">
      <alignment horizontal="center" vertical="center"/>
    </xf>
    <xf numFmtId="0" fontId="3" fillId="0" borderId="7" xfId="0" applyFont="1" applyBorder="1" applyAlignment="1" applyProtection="1">
      <alignment horizontal="center" vertical="center"/>
      <protection locked="0"/>
    </xf>
    <xf numFmtId="0" fontId="3" fillId="0" borderId="21" xfId="0" quotePrefix="1" applyFont="1" applyBorder="1" applyAlignment="1" applyProtection="1">
      <alignment horizontal="center" vertical="center"/>
      <protection locked="0"/>
    </xf>
    <xf numFmtId="0" fontId="3" fillId="4" borderId="27" xfId="0" quotePrefix="1" applyFont="1" applyFill="1" applyBorder="1" applyAlignment="1">
      <alignment horizontal="center" vertical="center"/>
    </xf>
    <xf numFmtId="0" fontId="3" fillId="4" borderId="21" xfId="0" quotePrefix="1" applyFont="1" applyFill="1" applyBorder="1" applyAlignment="1">
      <alignment horizontal="center" vertical="center"/>
    </xf>
    <xf numFmtId="0" fontId="3" fillId="4" borderId="26" xfId="0" quotePrefix="1" applyFont="1" applyFill="1" applyBorder="1" applyAlignment="1">
      <alignment horizontal="center" vertical="center"/>
    </xf>
    <xf numFmtId="0" fontId="12" fillId="0" borderId="21" xfId="0" applyFont="1" applyBorder="1" applyAlignment="1">
      <alignment horizontal="center" vertical="center" shrinkToFit="1"/>
    </xf>
    <xf numFmtId="0" fontId="4" fillId="0" borderId="1" xfId="0" applyFont="1" applyBorder="1" applyAlignment="1">
      <alignment horizontal="left" vertical="center" shrinkToFit="1"/>
    </xf>
    <xf numFmtId="0" fontId="3" fillId="0" borderId="7" xfId="0" applyFont="1" applyBorder="1" applyAlignment="1">
      <alignment vertical="center" wrapText="1"/>
    </xf>
    <xf numFmtId="0" fontId="3" fillId="0" borderId="21" xfId="0" applyFont="1" applyBorder="1" applyAlignment="1">
      <alignment vertical="center" wrapText="1"/>
    </xf>
    <xf numFmtId="0" fontId="3" fillId="0" borderId="22" xfId="0" applyFont="1" applyBorder="1" applyAlignment="1">
      <alignment vertical="center" wrapText="1"/>
    </xf>
    <xf numFmtId="0" fontId="3" fillId="0" borderId="2"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shrinkToFit="1"/>
      <protection locked="0"/>
    </xf>
    <xf numFmtId="0" fontId="3" fillId="3" borderId="5" xfId="0" applyFont="1" applyFill="1" applyBorder="1" applyAlignment="1" applyProtection="1">
      <alignment horizontal="center" vertical="center" shrinkToFit="1"/>
      <protection locked="0"/>
    </xf>
    <xf numFmtId="0" fontId="3" fillId="3" borderId="12" xfId="0" applyFont="1" applyFill="1" applyBorder="1" applyAlignment="1" applyProtection="1">
      <alignment horizontal="center" vertical="center" shrinkToFit="1"/>
      <protection locked="0"/>
    </xf>
    <xf numFmtId="0" fontId="15" fillId="0" borderId="1" xfId="0" quotePrefix="1" applyFont="1" applyBorder="1" applyAlignment="1" applyProtection="1">
      <alignment horizontal="left" vertical="top"/>
      <protection locked="0"/>
    </xf>
    <xf numFmtId="0" fontId="15" fillId="0" borderId="7" xfId="0" quotePrefix="1" applyFont="1" applyBorder="1" applyAlignment="1" applyProtection="1">
      <alignment horizontal="left" vertical="top"/>
      <protection locked="0"/>
    </xf>
    <xf numFmtId="0" fontId="3" fillId="0" borderId="2" xfId="0" quotePrefix="1" applyFont="1" applyBorder="1" applyAlignment="1">
      <alignment horizontal="center" vertical="center"/>
    </xf>
    <xf numFmtId="0" fontId="3" fillId="0" borderId="5" xfId="0" quotePrefix="1" applyFont="1" applyBorder="1" applyAlignment="1">
      <alignment horizontal="center" vertical="center"/>
    </xf>
    <xf numFmtId="0" fontId="3" fillId="0" borderId="12"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0" xfId="0" quotePrefix="1" applyFont="1" applyAlignment="1">
      <alignment horizontal="center" vertical="center"/>
    </xf>
    <xf numFmtId="0" fontId="3" fillId="0" borderId="6" xfId="0" quotePrefix="1" applyFont="1" applyBorder="1" applyAlignment="1">
      <alignment horizontal="center" vertical="center"/>
    </xf>
    <xf numFmtId="0" fontId="3" fillId="0" borderId="4" xfId="0" quotePrefix="1" applyFont="1" applyBorder="1" applyAlignment="1">
      <alignment horizontal="center" vertical="center"/>
    </xf>
    <xf numFmtId="0" fontId="3" fillId="0" borderId="8" xfId="0" quotePrefix="1" applyFont="1" applyBorder="1" applyAlignment="1">
      <alignment horizontal="center" vertical="center"/>
    </xf>
    <xf numFmtId="0" fontId="3" fillId="0" borderId="13" xfId="0" quotePrefix="1" applyFont="1" applyBorder="1" applyAlignment="1">
      <alignment horizontal="center" vertical="center"/>
    </xf>
    <xf numFmtId="0" fontId="15" fillId="0" borderId="2" xfId="0" quotePrefix="1" applyFont="1" applyBorder="1" applyAlignment="1" applyProtection="1">
      <alignment horizontal="left" vertical="top"/>
      <protection locked="0"/>
    </xf>
    <xf numFmtId="0" fontId="15" fillId="0" borderId="5" xfId="0" quotePrefix="1" applyFont="1" applyBorder="1" applyAlignment="1" applyProtection="1">
      <alignment horizontal="left" vertical="top"/>
      <protection locked="0"/>
    </xf>
    <xf numFmtId="0" fontId="15" fillId="0" borderId="3" xfId="0" quotePrefix="1" applyFont="1" applyBorder="1" applyAlignment="1" applyProtection="1">
      <alignment horizontal="left" vertical="top"/>
      <protection locked="0"/>
    </xf>
    <xf numFmtId="0" fontId="15" fillId="0" borderId="0" xfId="0" quotePrefix="1" applyFont="1" applyAlignment="1" applyProtection="1">
      <alignment horizontal="left" vertical="top"/>
      <protection locked="0"/>
    </xf>
    <xf numFmtId="0" fontId="15" fillId="0" borderId="4" xfId="0" quotePrefix="1" applyFont="1" applyBorder="1" applyAlignment="1" applyProtection="1">
      <alignment horizontal="left" vertical="top"/>
      <protection locked="0"/>
    </xf>
    <xf numFmtId="0" fontId="15" fillId="0" borderId="8" xfId="0" quotePrefix="1" applyFont="1" applyBorder="1" applyAlignment="1" applyProtection="1">
      <alignment horizontal="left" vertical="top"/>
      <protection locked="0"/>
    </xf>
    <xf numFmtId="0" fontId="3" fillId="0" borderId="2" xfId="0" quotePrefix="1" applyFont="1" applyBorder="1" applyAlignment="1" applyProtection="1">
      <alignment horizontal="left" vertical="top"/>
      <protection locked="0"/>
    </xf>
    <xf numFmtId="0" fontId="3" fillId="0" borderId="5" xfId="0" quotePrefix="1" applyFont="1" applyBorder="1" applyAlignment="1" applyProtection="1">
      <alignment horizontal="left" vertical="top"/>
      <protection locked="0"/>
    </xf>
    <xf numFmtId="0" fontId="3" fillId="0" borderId="36" xfId="0" quotePrefix="1" applyFont="1" applyBorder="1" applyAlignment="1" applyProtection="1">
      <alignment horizontal="left" vertical="top"/>
      <protection locked="0"/>
    </xf>
    <xf numFmtId="0" fontId="3" fillId="0" borderId="3" xfId="0" quotePrefix="1" applyFont="1" applyBorder="1" applyAlignment="1" applyProtection="1">
      <alignment horizontal="left" vertical="top"/>
      <protection locked="0"/>
    </xf>
    <xf numFmtId="0" fontId="3" fillId="0" borderId="0" xfId="0" quotePrefix="1" applyFont="1" applyAlignment="1" applyProtection="1">
      <alignment horizontal="left" vertical="top"/>
      <protection locked="0"/>
    </xf>
    <xf numFmtId="0" fontId="3" fillId="0" borderId="18" xfId="0" quotePrefix="1" applyFont="1" applyBorder="1" applyAlignment="1" applyProtection="1">
      <alignment horizontal="left" vertical="top"/>
      <protection locked="0"/>
    </xf>
    <xf numFmtId="0" fontId="3" fillId="0" borderId="4" xfId="0" quotePrefix="1" applyFont="1" applyBorder="1" applyAlignment="1" applyProtection="1">
      <alignment horizontal="left" vertical="top"/>
      <protection locked="0"/>
    </xf>
    <xf numFmtId="0" fontId="3" fillId="0" borderId="8" xfId="0" quotePrefix="1" applyFont="1" applyBorder="1" applyAlignment="1" applyProtection="1">
      <alignment horizontal="left" vertical="top"/>
      <protection locked="0"/>
    </xf>
    <xf numFmtId="0" fontId="3" fillId="0" borderId="37" xfId="0" quotePrefix="1" applyFont="1" applyBorder="1" applyAlignment="1" applyProtection="1">
      <alignment horizontal="left" vertical="top"/>
      <protection locked="0"/>
    </xf>
    <xf numFmtId="0" fontId="3" fillId="4" borderId="23" xfId="0" applyFont="1" applyFill="1" applyBorder="1" applyAlignment="1">
      <alignment horizontal="center"/>
    </xf>
    <xf numFmtId="0" fontId="3" fillId="4" borderId="19" xfId="0" applyFont="1" applyFill="1" applyBorder="1" applyAlignment="1">
      <alignment horizontal="center"/>
    </xf>
    <xf numFmtId="0" fontId="3" fillId="4" borderId="20" xfId="0" applyFont="1" applyFill="1" applyBorder="1" applyAlignment="1">
      <alignment horizontal="center"/>
    </xf>
    <xf numFmtId="0" fontId="3" fillId="0" borderId="21"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1" xfId="0" applyFont="1" applyBorder="1" applyAlignment="1" applyProtection="1">
      <alignment horizontal="center"/>
      <protection locked="0"/>
    </xf>
    <xf numFmtId="0" fontId="3"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5" xfId="0" applyFont="1" applyBorder="1" applyAlignment="1" applyProtection="1">
      <alignment horizontal="center"/>
      <protection locked="0"/>
    </xf>
    <xf numFmtId="0" fontId="3" fillId="0" borderId="12" xfId="0" applyFont="1" applyBorder="1" applyAlignment="1" applyProtection="1">
      <alignment horizontal="center"/>
      <protection locked="0"/>
    </xf>
    <xf numFmtId="0" fontId="3" fillId="0" borderId="7"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3" fillId="0" borderId="1"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12" fillId="4" borderId="44" xfId="0" applyFont="1" applyFill="1" applyBorder="1" applyAlignment="1">
      <alignment horizontal="center" vertical="center"/>
    </xf>
    <xf numFmtId="0" fontId="12" fillId="4" borderId="45" xfId="0" applyFont="1" applyFill="1" applyBorder="1" applyAlignment="1">
      <alignment horizontal="center" vertical="center"/>
    </xf>
    <xf numFmtId="0" fontId="12" fillId="4" borderId="46"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52" xfId="0" applyFont="1" applyFill="1" applyBorder="1" applyAlignment="1">
      <alignment horizontal="center" vertical="center"/>
    </xf>
    <xf numFmtId="0" fontId="12" fillId="4" borderId="53" xfId="0" applyFont="1" applyFill="1" applyBorder="1" applyAlignment="1">
      <alignment horizontal="center" vertical="center"/>
    </xf>
    <xf numFmtId="0" fontId="12" fillId="4" borderId="54" xfId="0" applyFont="1" applyFill="1" applyBorder="1" applyAlignment="1">
      <alignment horizontal="center" vertical="center"/>
    </xf>
    <xf numFmtId="0" fontId="12" fillId="4" borderId="5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 xfId="0" applyFont="1" applyFill="1" applyBorder="1" applyAlignment="1">
      <alignment horizontal="center" vertical="center"/>
    </xf>
    <xf numFmtId="0" fontId="3" fillId="0" borderId="44"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46" xfId="0" applyFont="1" applyBorder="1" applyAlignment="1" applyProtection="1">
      <alignment horizontal="center" vertical="center"/>
      <protection locked="0"/>
    </xf>
    <xf numFmtId="0" fontId="8" fillId="4" borderId="2"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0" xfId="0" applyFont="1" applyFill="1" applyAlignment="1">
      <alignment horizontal="center" vertical="center"/>
    </xf>
    <xf numFmtId="0" fontId="8" fillId="4" borderId="4" xfId="0" applyFont="1" applyFill="1" applyBorder="1" applyAlignment="1">
      <alignment horizontal="center" vertical="center"/>
    </xf>
    <xf numFmtId="0" fontId="8" fillId="4" borderId="8" xfId="0" applyFont="1" applyFill="1" applyBorder="1" applyAlignment="1">
      <alignment horizontal="center" vertical="center"/>
    </xf>
    <xf numFmtId="0" fontId="12" fillId="4" borderId="47"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49" xfId="0" applyFont="1" applyFill="1" applyBorder="1" applyAlignment="1">
      <alignment horizontal="center" vertical="center"/>
    </xf>
    <xf numFmtId="0" fontId="12" fillId="4" borderId="0" xfId="0" applyFont="1" applyFill="1" applyAlignment="1">
      <alignment horizontal="center" vertical="center"/>
    </xf>
    <xf numFmtId="0" fontId="12" fillId="4" borderId="50" xfId="0" applyFont="1" applyFill="1" applyBorder="1" applyAlignment="1">
      <alignment horizontal="center" vertical="center"/>
    </xf>
    <xf numFmtId="0" fontId="4" fillId="0" borderId="7" xfId="0" applyFont="1" applyBorder="1" applyAlignment="1" applyProtection="1">
      <alignment horizontal="center" vertical="center" wrapText="1"/>
      <protection locked="0"/>
    </xf>
    <xf numFmtId="0" fontId="4" fillId="0" borderId="21"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14" fontId="3" fillId="0" borderId="2" xfId="0" applyNumberFormat="1" applyFont="1" applyBorder="1" applyAlignment="1" applyProtection="1">
      <alignment horizontal="center" vertical="center" wrapText="1"/>
      <protection locked="0"/>
    </xf>
    <xf numFmtId="14" fontId="3" fillId="0" borderId="5" xfId="0" applyNumberFormat="1" applyFont="1" applyBorder="1" applyAlignment="1" applyProtection="1">
      <alignment horizontal="center" vertical="center" wrapText="1"/>
      <protection locked="0"/>
    </xf>
    <xf numFmtId="14" fontId="3" fillId="0" borderId="12" xfId="0" applyNumberFormat="1" applyFont="1" applyBorder="1" applyAlignment="1" applyProtection="1">
      <alignment horizontal="center" vertical="center" wrapText="1"/>
      <protection locked="0"/>
    </xf>
    <xf numFmtId="14" fontId="3" fillId="0" borderId="56" xfId="0" applyNumberFormat="1" applyFont="1" applyBorder="1" applyAlignment="1" applyProtection="1">
      <alignment horizontal="center" vertical="center" wrapText="1"/>
      <protection locked="0"/>
    </xf>
    <xf numFmtId="14" fontId="3" fillId="0" borderId="57" xfId="0" applyNumberFormat="1" applyFont="1" applyBorder="1" applyAlignment="1" applyProtection="1">
      <alignment horizontal="center" vertical="center" wrapText="1"/>
      <protection locked="0"/>
    </xf>
    <xf numFmtId="14" fontId="3" fillId="0" borderId="58" xfId="0" applyNumberFormat="1" applyFont="1" applyBorder="1" applyAlignment="1" applyProtection="1">
      <alignment horizontal="center" vertical="center" wrapText="1"/>
      <protection locked="0"/>
    </xf>
    <xf numFmtId="14" fontId="3" fillId="6" borderId="59" xfId="0" applyNumberFormat="1" applyFont="1" applyFill="1" applyBorder="1" applyAlignment="1" applyProtection="1">
      <alignment horizontal="center" vertical="center" wrapText="1"/>
      <protection locked="0"/>
    </xf>
    <xf numFmtId="14" fontId="3" fillId="6" borderId="60" xfId="0" applyNumberFormat="1" applyFont="1" applyFill="1" applyBorder="1" applyAlignment="1" applyProtection="1">
      <alignment horizontal="center" vertical="center" wrapText="1"/>
      <protection locked="0"/>
    </xf>
    <xf numFmtId="14" fontId="3" fillId="6" borderId="61" xfId="0" applyNumberFormat="1" applyFont="1" applyFill="1" applyBorder="1" applyAlignment="1" applyProtection="1">
      <alignment horizontal="center" vertical="center" wrapText="1"/>
      <protection locked="0"/>
    </xf>
    <xf numFmtId="14" fontId="3" fillId="6" borderId="4" xfId="0" applyNumberFormat="1" applyFont="1" applyFill="1" applyBorder="1" applyAlignment="1" applyProtection="1">
      <alignment horizontal="center" vertical="center" wrapText="1"/>
      <protection locked="0"/>
    </xf>
    <xf numFmtId="14" fontId="3" fillId="6" borderId="8" xfId="0" applyNumberFormat="1" applyFont="1" applyFill="1" applyBorder="1" applyAlignment="1" applyProtection="1">
      <alignment horizontal="center" vertical="center" wrapText="1"/>
      <protection locked="0"/>
    </xf>
    <xf numFmtId="14" fontId="3" fillId="6" borderId="13" xfId="0" applyNumberFormat="1" applyFont="1" applyFill="1" applyBorder="1" applyAlignment="1" applyProtection="1">
      <alignment horizontal="center" vertical="center" wrapText="1"/>
      <protection locked="0"/>
    </xf>
    <xf numFmtId="0" fontId="3" fillId="7" borderId="1" xfId="0" applyFont="1" applyFill="1" applyBorder="1" applyAlignment="1" applyProtection="1">
      <alignment horizontal="center" vertical="center" shrinkToFit="1"/>
      <protection locked="0"/>
    </xf>
    <xf numFmtId="14" fontId="3" fillId="6" borderId="1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0" fontId="43" fillId="9" borderId="1" xfId="0" applyFont="1" applyFill="1" applyBorder="1" applyAlignment="1">
      <alignment horizontal="center" vertical="center" wrapText="1"/>
    </xf>
    <xf numFmtId="0" fontId="38" fillId="9" borderId="1" xfId="0" applyFont="1" applyFill="1" applyBorder="1" applyAlignment="1">
      <alignment horizontal="center" vertical="center" wrapText="1"/>
    </xf>
    <xf numFmtId="0" fontId="38" fillId="0" borderId="62" xfId="0" applyFont="1" applyBorder="1" applyAlignment="1">
      <alignment horizontal="left" vertical="center" wrapText="1"/>
    </xf>
    <xf numFmtId="0" fontId="38" fillId="0" borderId="63" xfId="0" applyFont="1" applyBorder="1" applyAlignment="1">
      <alignment horizontal="left" vertical="center" wrapText="1"/>
    </xf>
    <xf numFmtId="0" fontId="38" fillId="0" borderId="64" xfId="0" applyFont="1" applyBorder="1" applyAlignment="1">
      <alignment horizontal="left" vertical="center" wrapText="1"/>
    </xf>
    <xf numFmtId="0" fontId="45" fillId="0" borderId="65" xfId="0" applyFont="1" applyBorder="1" applyAlignment="1">
      <alignment horizontal="left" vertical="center" wrapText="1"/>
    </xf>
    <xf numFmtId="0" fontId="44" fillId="0" borderId="66" xfId="0" applyFont="1" applyBorder="1" applyAlignment="1">
      <alignment horizontal="left" vertical="center" wrapText="1"/>
    </xf>
    <xf numFmtId="0" fontId="44" fillId="0" borderId="67" xfId="0" applyFont="1" applyBorder="1" applyAlignment="1">
      <alignment horizontal="left" vertical="center" wrapText="1"/>
    </xf>
    <xf numFmtId="0" fontId="34" fillId="0" borderId="0" xfId="0" applyFont="1" applyAlignment="1">
      <alignment horizontal="center" vertical="center" wrapText="1"/>
    </xf>
    <xf numFmtId="0" fontId="36" fillId="0" borderId="0" xfId="0" applyFont="1" applyAlignment="1">
      <alignment horizontal="center" vertical="center" wrapText="1"/>
    </xf>
    <xf numFmtId="0" fontId="38" fillId="0" borderId="8" xfId="0" applyFont="1" applyBorder="1" applyAlignment="1">
      <alignment horizontal="center" vertical="center" wrapText="1"/>
    </xf>
    <xf numFmtId="0" fontId="38" fillId="0" borderId="13" xfId="0" applyFont="1" applyBorder="1" applyAlignment="1">
      <alignment horizontal="center" vertical="center" wrapText="1"/>
    </xf>
    <xf numFmtId="0" fontId="44" fillId="0" borderId="7" xfId="0" applyFont="1" applyBorder="1" applyAlignment="1">
      <alignment horizontal="left" vertical="center" wrapText="1"/>
    </xf>
    <xf numFmtId="0" fontId="44" fillId="0" borderId="21" xfId="0" applyFont="1" applyBorder="1" applyAlignment="1">
      <alignment horizontal="left" vertical="center" wrapText="1"/>
    </xf>
    <xf numFmtId="0" fontId="44" fillId="0" borderId="22" xfId="0" applyFont="1" applyBorder="1" applyAlignment="1">
      <alignment horizontal="left" vertical="center" wrapText="1"/>
    </xf>
    <xf numFmtId="0" fontId="50" fillId="0" borderId="1" xfId="0" applyFont="1" applyBorder="1" applyAlignment="1">
      <alignment horizontal="center" vertical="center" wrapText="1"/>
    </xf>
    <xf numFmtId="0" fontId="44" fillId="0" borderId="1" xfId="0" applyFont="1" applyBorder="1" applyAlignment="1">
      <alignment horizontal="center" vertical="center" wrapText="1"/>
    </xf>
    <xf numFmtId="0" fontId="38" fillId="0" borderId="21" xfId="0" applyFont="1" applyBorder="1" applyAlignment="1">
      <alignment horizontal="center" vertical="center" wrapText="1"/>
    </xf>
    <xf numFmtId="0" fontId="38" fillId="0" borderId="7" xfId="0" applyFont="1" applyBorder="1" applyAlignment="1">
      <alignment horizontal="left" vertical="center" wrapText="1"/>
    </xf>
    <xf numFmtId="0" fontId="38" fillId="0" borderId="21" xfId="0" applyFont="1" applyBorder="1" applyAlignment="1">
      <alignment horizontal="left" vertical="center" wrapText="1"/>
    </xf>
    <xf numFmtId="0" fontId="38" fillId="0" borderId="22" xfId="0" applyFont="1" applyBorder="1" applyAlignment="1">
      <alignment horizontal="left" vertical="center" wrapText="1"/>
    </xf>
    <xf numFmtId="0" fontId="44" fillId="0" borderId="65" xfId="0" applyFont="1" applyBorder="1" applyAlignment="1">
      <alignment horizontal="left" vertical="center" wrapText="1"/>
    </xf>
    <xf numFmtId="0" fontId="43" fillId="0" borderId="62" xfId="0" applyFont="1" applyBorder="1" applyAlignment="1">
      <alignment horizontal="left" vertical="center" wrapText="1"/>
    </xf>
    <xf numFmtId="0" fontId="46" fillId="0" borderId="0" xfId="0" applyFont="1" applyAlignment="1">
      <alignment horizontal="center" vertical="center" wrapText="1"/>
    </xf>
    <xf numFmtId="0" fontId="44" fillId="0" borderId="62" xfId="0" applyFont="1" applyBorder="1" applyAlignment="1">
      <alignment horizontal="left" vertical="center" wrapText="1"/>
    </xf>
    <xf numFmtId="0" fontId="44" fillId="0" borderId="63" xfId="0" applyFont="1" applyBorder="1" applyAlignment="1">
      <alignment horizontal="left" vertical="center" wrapText="1"/>
    </xf>
    <xf numFmtId="0" fontId="44" fillId="0" borderId="64" xfId="0" applyFont="1" applyBorder="1" applyAlignment="1">
      <alignment horizontal="left" vertical="center" wrapText="1"/>
    </xf>
    <xf numFmtId="0" fontId="44" fillId="11" borderId="65" xfId="0" applyFont="1" applyFill="1" applyBorder="1" applyAlignment="1">
      <alignment horizontal="left" vertical="center" wrapText="1"/>
    </xf>
    <xf numFmtId="0" fontId="44" fillId="11" borderId="66" xfId="0" applyFont="1" applyFill="1" applyBorder="1" applyAlignment="1">
      <alignment horizontal="left" vertical="center" wrapText="1"/>
    </xf>
    <xf numFmtId="0" fontId="44" fillId="11" borderId="67" xfId="0" applyFont="1" applyFill="1" applyBorder="1" applyAlignment="1">
      <alignment horizontal="left" vertical="center" wrapText="1"/>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6" fillId="0" borderId="2" xfId="0" applyFont="1" applyBorder="1" applyAlignment="1">
      <alignment horizontal="center" vertical="center"/>
    </xf>
    <xf numFmtId="0" fontId="6" fillId="0" borderId="5" xfId="0" applyFont="1" applyBorder="1" applyAlignment="1">
      <alignment horizontal="center" vertical="center"/>
    </xf>
    <xf numFmtId="0" fontId="6" fillId="0" borderId="12"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13"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1" fillId="0" borderId="5" xfId="0" applyFont="1" applyBorder="1" applyAlignment="1">
      <alignment horizontal="center" vertical="center"/>
    </xf>
    <xf numFmtId="0" fontId="1" fillId="0" borderId="4" xfId="0" applyFont="1" applyBorder="1" applyAlignment="1">
      <alignment horizontal="center" vertical="center"/>
    </xf>
    <xf numFmtId="0" fontId="1" fillId="0" borderId="8" xfId="0" applyFont="1" applyBorder="1" applyAlignment="1">
      <alignment horizontal="center" vertical="center"/>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4" xfId="0" applyFont="1" applyBorder="1" applyAlignment="1">
      <alignment horizontal="center" vertical="center" wrapText="1"/>
    </xf>
    <xf numFmtId="0" fontId="6" fillId="0" borderId="8" xfId="0" applyFont="1" applyBorder="1" applyAlignment="1">
      <alignment horizontal="center" vertical="center" wrapText="1"/>
    </xf>
    <xf numFmtId="0" fontId="6" fillId="0" borderId="13" xfId="0" applyFont="1" applyBorder="1" applyAlignment="1">
      <alignment horizontal="center" vertical="center" wrapText="1"/>
    </xf>
    <xf numFmtId="177" fontId="6" fillId="0" borderId="2" xfId="0" applyNumberFormat="1" applyFont="1" applyBorder="1" applyAlignment="1">
      <alignment horizontal="center" vertical="center"/>
    </xf>
    <xf numFmtId="177" fontId="6" fillId="0" borderId="5" xfId="0" applyNumberFormat="1" applyFont="1" applyBorder="1" applyAlignment="1">
      <alignment horizontal="center" vertical="center"/>
    </xf>
    <xf numFmtId="177" fontId="6" fillId="0" borderId="12" xfId="0" applyNumberFormat="1" applyFont="1" applyBorder="1" applyAlignment="1">
      <alignment horizontal="center" vertical="center"/>
    </xf>
    <xf numFmtId="177" fontId="6" fillId="0" borderId="4" xfId="0" applyNumberFormat="1" applyFont="1" applyBorder="1" applyAlignment="1">
      <alignment horizontal="center" vertical="center"/>
    </xf>
    <xf numFmtId="177" fontId="6" fillId="0" borderId="8" xfId="0" applyNumberFormat="1" applyFont="1" applyBorder="1" applyAlignment="1">
      <alignment horizontal="center" vertical="center"/>
    </xf>
    <xf numFmtId="177" fontId="6" fillId="0" borderId="13" xfId="0" applyNumberFormat="1" applyFont="1" applyBorder="1" applyAlignment="1">
      <alignment horizontal="center" vertical="center"/>
    </xf>
    <xf numFmtId="0" fontId="1" fillId="0" borderId="1" xfId="0" applyFont="1" applyBorder="1" applyAlignment="1" applyProtection="1">
      <alignment horizontal="center" vertical="top"/>
      <protection locked="0"/>
    </xf>
    <xf numFmtId="0" fontId="6" fillId="0" borderId="2" xfId="0" applyFont="1" applyBorder="1" applyAlignment="1" applyProtection="1">
      <alignment horizontal="center" vertical="center"/>
      <protection locked="0"/>
    </xf>
    <xf numFmtId="0" fontId="6" fillId="0" borderId="5"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6" fillId="0" borderId="21" xfId="0" applyFont="1" applyBorder="1" applyAlignment="1" applyProtection="1">
      <alignment horizontal="center" vertical="center"/>
      <protection locked="0"/>
    </xf>
    <xf numFmtId="0" fontId="6" fillId="0" borderId="22" xfId="0" applyFont="1"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1" fillId="0" borderId="7" xfId="2" quotePrefix="1" applyBorder="1" applyAlignment="1">
      <alignment horizontal="center" vertical="center"/>
    </xf>
    <xf numFmtId="0" fontId="1" fillId="0" borderId="21" xfId="2" applyBorder="1" applyAlignment="1">
      <alignment horizontal="center" vertical="center"/>
    </xf>
    <xf numFmtId="0" fontId="1" fillId="0" borderId="22" xfId="2" applyBorder="1" applyAlignment="1">
      <alignment horizontal="center" vertical="center"/>
    </xf>
    <xf numFmtId="31" fontId="1" fillId="0" borderId="7" xfId="2" quotePrefix="1" applyNumberFormat="1" applyBorder="1" applyAlignment="1">
      <alignment horizontal="center" vertical="center"/>
    </xf>
    <xf numFmtId="0" fontId="1" fillId="0" borderId="7" xfId="2" applyBorder="1" applyAlignment="1">
      <alignment horizontal="left" vertical="center"/>
    </xf>
    <xf numFmtId="0" fontId="1" fillId="0" borderId="21" xfId="2" applyBorder="1" applyAlignment="1">
      <alignment horizontal="left" vertical="center"/>
    </xf>
    <xf numFmtId="0" fontId="1" fillId="0" borderId="22" xfId="2" applyBorder="1" applyAlignment="1">
      <alignment horizontal="left" vertical="center"/>
    </xf>
    <xf numFmtId="0" fontId="1" fillId="0" borderId="7" xfId="2" applyBorder="1" applyAlignment="1">
      <alignment horizontal="center" vertical="center"/>
    </xf>
    <xf numFmtId="180" fontId="1" fillId="0" borderId="7" xfId="2" quotePrefix="1" applyNumberFormat="1" applyBorder="1" applyAlignment="1">
      <alignment horizontal="center" vertical="center"/>
    </xf>
    <xf numFmtId="180" fontId="1" fillId="0" borderId="21" xfId="2" applyNumberFormat="1" applyBorder="1" applyAlignment="1">
      <alignment horizontal="center" vertical="center"/>
    </xf>
    <xf numFmtId="180" fontId="1" fillId="0" borderId="22" xfId="2" applyNumberFormat="1" applyBorder="1" applyAlignment="1">
      <alignment horizontal="center" vertical="center"/>
    </xf>
    <xf numFmtId="0" fontId="0" fillId="0" borderId="7" xfId="2" applyFont="1" applyBorder="1" applyAlignment="1">
      <alignment horizontal="left" vertical="center" wrapText="1"/>
    </xf>
    <xf numFmtId="179" fontId="1" fillId="0" borderId="2" xfId="2" quotePrefix="1" applyNumberFormat="1" applyBorder="1" applyAlignment="1">
      <alignment horizontal="center" vertical="center"/>
    </xf>
    <xf numFmtId="179" fontId="1" fillId="0" borderId="5" xfId="2" applyNumberFormat="1" applyBorder="1" applyAlignment="1">
      <alignment horizontal="center" vertical="center"/>
    </xf>
    <xf numFmtId="179" fontId="1" fillId="0" borderId="12" xfId="2" applyNumberFormat="1" applyBorder="1" applyAlignment="1">
      <alignment horizontal="center" vertical="center"/>
    </xf>
    <xf numFmtId="31" fontId="0" fillId="0" borderId="2" xfId="2" quotePrefix="1" applyNumberFormat="1" applyFont="1" applyBorder="1" applyAlignment="1">
      <alignment horizontal="center" vertical="center"/>
    </xf>
    <xf numFmtId="0" fontId="1" fillId="0" borderId="5" xfId="2" applyBorder="1" applyAlignment="1">
      <alignment horizontal="center" vertical="center"/>
    </xf>
    <xf numFmtId="0" fontId="1" fillId="0" borderId="12" xfId="2" applyBorder="1" applyAlignment="1">
      <alignment horizontal="center" vertical="center"/>
    </xf>
    <xf numFmtId="0" fontId="1" fillId="0" borderId="2" xfId="2" applyBorder="1" applyAlignment="1">
      <alignment horizontal="left" vertical="center"/>
    </xf>
    <xf numFmtId="0" fontId="1" fillId="0" borderId="5" xfId="2" applyBorder="1" applyAlignment="1">
      <alignment horizontal="left" vertical="center"/>
    </xf>
    <xf numFmtId="0" fontId="1" fillId="0" borderId="12" xfId="2" applyBorder="1" applyAlignment="1">
      <alignment horizontal="left" vertical="center"/>
    </xf>
    <xf numFmtId="0" fontId="1" fillId="0" borderId="2" xfId="2" applyBorder="1" applyAlignment="1">
      <alignment horizontal="center" vertical="center"/>
    </xf>
    <xf numFmtId="14" fontId="1" fillId="0" borderId="7" xfId="2" quotePrefix="1" applyNumberFormat="1" applyBorder="1" applyAlignment="1">
      <alignment horizontal="center" vertical="center"/>
    </xf>
    <xf numFmtId="14" fontId="1" fillId="0" borderId="21" xfId="2" applyNumberFormat="1" applyBorder="1" applyAlignment="1">
      <alignment horizontal="center" vertical="center"/>
    </xf>
    <xf numFmtId="14" fontId="1" fillId="0" borderId="22" xfId="2" applyNumberFormat="1" applyBorder="1" applyAlignment="1">
      <alignment horizontal="center" vertical="center"/>
    </xf>
    <xf numFmtId="0" fontId="1" fillId="0" borderId="1" xfId="2" quotePrefix="1" applyBorder="1" applyAlignment="1">
      <alignment horizontal="center" vertical="center"/>
    </xf>
    <xf numFmtId="0" fontId="1" fillId="0" borderId="1" xfId="2" applyBorder="1" applyAlignment="1">
      <alignment horizontal="center" vertical="center"/>
    </xf>
    <xf numFmtId="31" fontId="1" fillId="0" borderId="1" xfId="2" applyNumberFormat="1" applyBorder="1" applyAlignment="1">
      <alignment horizontal="center" vertical="center"/>
    </xf>
    <xf numFmtId="0" fontId="0" fillId="0" borderId="1" xfId="2" applyFont="1" applyBorder="1" applyAlignment="1">
      <alignment horizontal="center" vertical="center"/>
    </xf>
    <xf numFmtId="0" fontId="4" fillId="0" borderId="1" xfId="2" applyFont="1" applyBorder="1" applyAlignment="1">
      <alignment horizontal="center" vertical="center" wrapText="1"/>
    </xf>
    <xf numFmtId="0" fontId="0" fillId="0" borderId="7" xfId="2" applyFont="1" applyBorder="1" applyAlignment="1">
      <alignment horizontal="center" vertical="center"/>
    </xf>
    <xf numFmtId="56" fontId="15" fillId="0" borderId="9" xfId="0" applyNumberFormat="1" applyFont="1" applyBorder="1" applyAlignment="1" applyProtection="1">
      <alignment vertical="top" wrapText="1"/>
      <protection locked="0"/>
    </xf>
    <xf numFmtId="56" fontId="15" fillId="0" borderId="10" xfId="0" applyNumberFormat="1" applyFont="1" applyBorder="1" applyAlignment="1" applyProtection="1">
      <alignment vertical="top" wrapText="1"/>
      <protection locked="0"/>
    </xf>
    <xf numFmtId="56" fontId="15" fillId="0" borderId="11" xfId="0" applyNumberFormat="1" applyFont="1" applyBorder="1" applyAlignment="1" applyProtection="1">
      <alignment vertical="top" wrapText="1"/>
      <protection locked="0"/>
    </xf>
    <xf numFmtId="56" fontId="15" fillId="0" borderId="3" xfId="0" applyNumberFormat="1" applyFont="1" applyBorder="1" applyAlignment="1" applyProtection="1">
      <alignment vertical="top" wrapText="1"/>
      <protection locked="0"/>
    </xf>
    <xf numFmtId="56" fontId="15" fillId="0" borderId="0" xfId="0" applyNumberFormat="1" applyFont="1" applyAlignment="1" applyProtection="1">
      <alignment vertical="top" wrapText="1"/>
      <protection locked="0"/>
    </xf>
    <xf numFmtId="56" fontId="15" fillId="0" borderId="6" xfId="0" applyNumberFormat="1" applyFont="1" applyBorder="1" applyAlignment="1" applyProtection="1">
      <alignment vertical="top" wrapText="1"/>
      <protection locked="0"/>
    </xf>
    <xf numFmtId="56" fontId="15" fillId="0" borderId="4" xfId="0" applyNumberFormat="1" applyFont="1" applyBorder="1" applyAlignment="1" applyProtection="1">
      <alignment vertical="top" wrapText="1"/>
      <protection locked="0"/>
    </xf>
    <xf numFmtId="56" fontId="15" fillId="0" borderId="8" xfId="0" applyNumberFormat="1" applyFont="1" applyBorder="1" applyAlignment="1" applyProtection="1">
      <alignment vertical="top" wrapText="1"/>
      <protection locked="0"/>
    </xf>
    <xf numFmtId="56" fontId="15" fillId="0" borderId="13" xfId="0" applyNumberFormat="1" applyFont="1" applyBorder="1" applyAlignment="1" applyProtection="1">
      <alignment vertical="top" wrapText="1"/>
      <protection locked="0"/>
    </xf>
    <xf numFmtId="56" fontId="15" fillId="0" borderId="2" xfId="0" applyNumberFormat="1" applyFont="1" applyBorder="1" applyAlignment="1" applyProtection="1">
      <alignment vertical="top" wrapText="1"/>
      <protection locked="0"/>
    </xf>
    <xf numFmtId="56" fontId="15" fillId="0" borderId="5" xfId="0" applyNumberFormat="1" applyFont="1" applyBorder="1" applyAlignment="1" applyProtection="1">
      <alignment vertical="top" wrapText="1"/>
      <protection locked="0"/>
    </xf>
    <xf numFmtId="56" fontId="15" fillId="0" borderId="12" xfId="0" applyNumberFormat="1" applyFont="1" applyBorder="1" applyAlignment="1" applyProtection="1">
      <alignment vertical="top" wrapText="1"/>
      <protection locked="0"/>
    </xf>
  </cellXfs>
  <cellStyles count="3">
    <cellStyle name="標準" xfId="0" builtinId="0"/>
    <cellStyle name="標準 2 2 2" xfId="2" xr:uid="{00000000-0005-0000-0000-000001000000}"/>
    <cellStyle name="標準_５７部門長計画用紙（配布用）"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9727406" y="9924728"/>
          <a:ext cx="12191" cy="33845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86</xdr:col>
      <xdr:colOff>9526</xdr:colOff>
      <xdr:row>25</xdr:row>
      <xdr:rowOff>35715</xdr:rowOff>
    </xdr:from>
    <xdr:to>
      <xdr:col>106</xdr:col>
      <xdr:colOff>2</xdr:colOff>
      <xdr:row>27</xdr:row>
      <xdr:rowOff>142874</xdr:rowOff>
    </xdr:to>
    <xdr:sp macro="" textlink="">
      <xdr:nvSpPr>
        <xdr:cNvPr id="7" name="Line 3">
          <a:extLst>
            <a:ext uri="{FF2B5EF4-FFF2-40B4-BE49-F238E27FC236}">
              <a16:creationId xmlns:a16="http://schemas.microsoft.com/office/drawing/2014/main" id="{00000000-0008-0000-0100-000007000000}"/>
            </a:ext>
          </a:extLst>
        </xdr:cNvPr>
        <xdr:cNvSpPr>
          <a:spLocks noChangeShapeType="1"/>
        </xdr:cNvSpPr>
      </xdr:nvSpPr>
      <xdr:spPr bwMode="auto">
        <a:xfrm flipV="1">
          <a:off x="8201026" y="9951240"/>
          <a:ext cx="1895476" cy="431009"/>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76200</xdr:colOff>
      <xdr:row>25</xdr:row>
      <xdr:rowOff>15715</xdr:rowOff>
    </xdr:from>
    <xdr:to>
      <xdr:col>98</xdr:col>
      <xdr:colOff>0</xdr:colOff>
      <xdr:row>26</xdr:row>
      <xdr:rowOff>152400</xdr:rowOff>
    </xdr:to>
    <xdr:sp macro="" textlink="">
      <xdr:nvSpPr>
        <xdr:cNvPr id="9" name="Line 2">
          <a:extLst>
            <a:ext uri="{FF2B5EF4-FFF2-40B4-BE49-F238E27FC236}">
              <a16:creationId xmlns:a16="http://schemas.microsoft.com/office/drawing/2014/main" id="{00000000-0008-0000-0100-000009000000}"/>
            </a:ext>
          </a:extLst>
        </xdr:cNvPr>
        <xdr:cNvSpPr>
          <a:spLocks noChangeShapeType="1"/>
        </xdr:cNvSpPr>
      </xdr:nvSpPr>
      <xdr:spPr bwMode="auto">
        <a:xfrm flipV="1">
          <a:off x="8172450" y="9931240"/>
          <a:ext cx="1162050" cy="29861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9341643" y="9941397"/>
          <a:ext cx="12191" cy="328933"/>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85725</xdr:colOff>
      <xdr:row>25</xdr:row>
      <xdr:rowOff>35717</xdr:rowOff>
    </xdr:from>
    <xdr:to>
      <xdr:col>106</xdr:col>
      <xdr:colOff>1</xdr:colOff>
      <xdr:row>28</xdr:row>
      <xdr:rowOff>9525</xdr:rowOff>
    </xdr:to>
    <xdr:sp macro="" textlink="">
      <xdr:nvSpPr>
        <xdr:cNvPr id="3" name="Line 3">
          <a:extLst>
            <a:ext uri="{FF2B5EF4-FFF2-40B4-BE49-F238E27FC236}">
              <a16:creationId xmlns:a16="http://schemas.microsoft.com/office/drawing/2014/main" id="{00000000-0008-0000-0200-000003000000}"/>
            </a:ext>
          </a:extLst>
        </xdr:cNvPr>
        <xdr:cNvSpPr>
          <a:spLocks noChangeShapeType="1"/>
        </xdr:cNvSpPr>
      </xdr:nvSpPr>
      <xdr:spPr bwMode="auto">
        <a:xfrm flipV="1">
          <a:off x="8181975" y="9951242"/>
          <a:ext cx="1914526" cy="46910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84</xdr:col>
      <xdr:colOff>0</xdr:colOff>
      <xdr:row>25</xdr:row>
      <xdr:rowOff>11905</xdr:rowOff>
    </xdr:from>
    <xdr:to>
      <xdr:col>98</xdr:col>
      <xdr:colOff>0</xdr:colOff>
      <xdr:row>27</xdr:row>
      <xdr:rowOff>2167</xdr:rowOff>
    </xdr:to>
    <xdr:sp macro="" textlink="">
      <xdr:nvSpPr>
        <xdr:cNvPr id="4" name="Line 2">
          <a:extLst>
            <a:ext uri="{FF2B5EF4-FFF2-40B4-BE49-F238E27FC236}">
              <a16:creationId xmlns:a16="http://schemas.microsoft.com/office/drawing/2014/main" id="{00000000-0008-0000-0200-000004000000}"/>
            </a:ext>
          </a:extLst>
        </xdr:cNvPr>
        <xdr:cNvSpPr>
          <a:spLocks noChangeShapeType="1"/>
        </xdr:cNvSpPr>
      </xdr:nvSpPr>
      <xdr:spPr bwMode="auto">
        <a:xfrm flipV="1">
          <a:off x="9601200" y="9946480"/>
          <a:ext cx="1600200" cy="314112"/>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19050</xdr:colOff>
          <xdr:row>5</xdr:row>
          <xdr:rowOff>123825</xdr:rowOff>
        </xdr:from>
        <xdr:to>
          <xdr:col>41</xdr:col>
          <xdr:colOff>133350</xdr:colOff>
          <xdr:row>5</xdr:row>
          <xdr:rowOff>828675</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161925</xdr:rowOff>
        </xdr:from>
        <xdr:to>
          <xdr:col>36</xdr:col>
          <xdr:colOff>133350</xdr:colOff>
          <xdr:row>5</xdr:row>
          <xdr:rowOff>857250</xdr:rowOff>
        </xdr:to>
        <xdr:sp macro="" textlink="">
          <xdr:nvSpPr>
            <xdr:cNvPr id="7170" name="inei1_北村 義則"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6</xdr:row>
          <xdr:rowOff>0</xdr:rowOff>
        </xdr:from>
        <xdr:to>
          <xdr:col>41</xdr:col>
          <xdr:colOff>104775</xdr:colOff>
          <xdr:row>7</xdr:row>
          <xdr:rowOff>28575</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923925</xdr:rowOff>
        </xdr:from>
        <xdr:to>
          <xdr:col>36</xdr:col>
          <xdr:colOff>133350</xdr:colOff>
          <xdr:row>7</xdr:row>
          <xdr:rowOff>19050</xdr:rowOff>
        </xdr:to>
        <xdr:sp macro="" textlink="">
          <xdr:nvSpPr>
            <xdr:cNvPr id="7172" name="inei2_北村 義則"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19050</xdr:colOff>
          <xdr:row>7</xdr:row>
          <xdr:rowOff>152400</xdr:rowOff>
        </xdr:from>
        <xdr:to>
          <xdr:col>41</xdr:col>
          <xdr:colOff>133350</xdr:colOff>
          <xdr:row>7</xdr:row>
          <xdr:rowOff>857250</xdr:rowOff>
        </xdr:to>
        <xdr:sp macro="" textlink="">
          <xdr:nvSpPr>
            <xdr:cNvPr id="7173" name="Object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7</xdr:row>
          <xdr:rowOff>238125</xdr:rowOff>
        </xdr:from>
        <xdr:to>
          <xdr:col>36</xdr:col>
          <xdr:colOff>47625</xdr:colOff>
          <xdr:row>7</xdr:row>
          <xdr:rowOff>809625</xdr:rowOff>
        </xdr:to>
        <xdr:sp macro="" textlink="">
          <xdr:nvSpPr>
            <xdr:cNvPr id="7174" name="Object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oleObject" Target="../embeddings/oleObject5.bin"/><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F112"/>
  <sheetViews>
    <sheetView showGridLines="0" tabSelected="1" view="pageBreakPreview" zoomScaleNormal="80" zoomScaleSheetLayoutView="100" zoomScalePageLayoutView="40" workbookViewId="0"/>
  </sheetViews>
  <sheetFormatPr defaultColWidth="1.375" defaultRowHeight="12"/>
  <cols>
    <col min="1" max="4" width="1.375" style="14" customWidth="1"/>
    <col min="5" max="5" width="2" style="14" customWidth="1"/>
    <col min="6" max="14" width="1.375" style="14" customWidth="1"/>
    <col min="15" max="15" width="1.875" style="14" customWidth="1"/>
    <col min="16" max="17" width="1.375" style="14" customWidth="1"/>
    <col min="18" max="18" width="7.25" style="14" customWidth="1"/>
    <col min="19" max="31" width="1.375" style="14" customWidth="1"/>
    <col min="32" max="32" width="0.875" style="14" customWidth="1"/>
    <col min="33" max="50" width="1.375" style="14" customWidth="1"/>
    <col min="51" max="54" width="1.875" style="14" customWidth="1"/>
    <col min="55" max="57" width="1.875" style="14" hidden="1" customWidth="1"/>
    <col min="58" max="58" width="1.75" style="14" customWidth="1"/>
    <col min="59" max="60" width="1.25" style="14" customWidth="1"/>
    <col min="61" max="66" width="1.375" style="14" customWidth="1"/>
    <col min="67" max="67" width="0.75" style="14" customWidth="1"/>
    <col min="68" max="68" width="2.25" style="14" customWidth="1"/>
    <col min="69" max="70" width="1.375" style="14" customWidth="1"/>
    <col min="71" max="71" width="3.375" style="14" customWidth="1"/>
    <col min="72" max="72" width="1.375" style="14" customWidth="1"/>
    <col min="73" max="73" width="1.125" style="14" customWidth="1"/>
    <col min="74" max="74" width="0.375" style="14" customWidth="1"/>
    <col min="75" max="75" width="1" style="14" customWidth="1"/>
    <col min="76" max="106" width="1.375" style="14" customWidth="1"/>
    <col min="107" max="107" width="2.75" style="14" customWidth="1"/>
    <col min="108" max="108" width="3.125" style="14" customWidth="1"/>
    <col min="109" max="109" width="1.375" style="14" customWidth="1"/>
    <col min="110" max="110" width="2" style="14" customWidth="1"/>
    <col min="111" max="112" width="1.375" style="14" customWidth="1"/>
    <col min="113" max="113" width="2.875" style="14" customWidth="1"/>
    <col min="114" max="114" width="0.75" style="14" customWidth="1"/>
    <col min="115" max="115" width="1.25" style="14" customWidth="1"/>
    <col min="116" max="117" width="1.375" style="14" customWidth="1"/>
    <col min="118" max="118" width="1.875" style="14" customWidth="1"/>
    <col min="119" max="119" width="1.375" style="14"/>
    <col min="120" max="120" width="2.25" style="14" customWidth="1"/>
    <col min="121" max="121" width="2.75" style="14" customWidth="1"/>
    <col min="122" max="127" width="1.375" style="14"/>
    <col min="128" max="128" width="0.875" style="14" customWidth="1"/>
    <col min="129" max="129" width="1.375" style="14"/>
    <col min="130" max="130" width="2.75" style="14" customWidth="1"/>
    <col min="131" max="131" width="1.375" style="14" customWidth="1"/>
    <col min="132" max="133" width="1.375" style="14"/>
    <col min="134" max="134" width="1.875" style="14" customWidth="1"/>
    <col min="135" max="135" width="4" style="14" customWidth="1"/>
    <col min="136" max="136" width="1.375" style="14" customWidth="1"/>
    <col min="137" max="16384" width="1.375" style="14"/>
  </cols>
  <sheetData>
    <row r="1" spans="1:140" ht="18.75">
      <c r="A1" s="84" t="s">
        <v>0</v>
      </c>
      <c r="B1" s="85"/>
      <c r="C1" s="85"/>
      <c r="D1" s="347">
        <v>40</v>
      </c>
      <c r="E1" s="347"/>
      <c r="F1" s="85" t="s">
        <v>1</v>
      </c>
      <c r="G1" s="85"/>
      <c r="H1" s="87"/>
      <c r="K1" s="15" t="s">
        <v>2</v>
      </c>
      <c r="AK1" s="16"/>
      <c r="DJ1" s="432" t="s">
        <v>3</v>
      </c>
      <c r="DK1" s="433"/>
      <c r="DL1" s="433"/>
      <c r="DM1" s="433"/>
      <c r="DN1" s="433"/>
      <c r="DO1" s="433"/>
      <c r="DP1" s="433"/>
      <c r="DQ1" s="434"/>
      <c r="DR1" s="429" t="s">
        <v>4</v>
      </c>
      <c r="DS1" s="430"/>
      <c r="DT1" s="430"/>
      <c r="DU1" s="430"/>
      <c r="DV1" s="430"/>
      <c r="DW1" s="431"/>
      <c r="DX1" s="429" t="s">
        <v>5</v>
      </c>
      <c r="DY1" s="430"/>
      <c r="DZ1" s="430"/>
      <c r="EA1" s="430"/>
      <c r="EB1" s="430"/>
      <c r="EC1" s="431"/>
      <c r="ED1" s="429" t="s">
        <v>6</v>
      </c>
      <c r="EE1" s="430"/>
      <c r="EF1" s="430"/>
      <c r="EG1" s="430"/>
      <c r="EH1" s="430"/>
      <c r="EI1" s="431"/>
      <c r="EJ1" s="17"/>
    </row>
    <row r="2" spans="1:140" ht="21.75" customHeight="1">
      <c r="A2" s="128" t="s">
        <v>7</v>
      </c>
      <c r="AX2" s="307" t="s">
        <v>8</v>
      </c>
      <c r="AY2" s="308"/>
      <c r="AZ2" s="308"/>
      <c r="BA2" s="308"/>
      <c r="BB2" s="308"/>
      <c r="BC2" s="308"/>
      <c r="BD2" s="308"/>
      <c r="BE2" s="308"/>
      <c r="BF2" s="308"/>
      <c r="BG2" s="308"/>
      <c r="BH2" s="308"/>
      <c r="BI2" s="308"/>
      <c r="BJ2" s="308"/>
      <c r="BK2" s="308"/>
      <c r="BL2" s="308"/>
      <c r="BM2" s="308"/>
      <c r="BN2" s="309"/>
      <c r="BP2" s="354" t="s">
        <v>9</v>
      </c>
      <c r="BQ2" s="366"/>
      <c r="BR2" s="366"/>
      <c r="BS2" s="366"/>
      <c r="BT2" s="366"/>
      <c r="BU2" s="329" t="s">
        <v>384</v>
      </c>
      <c r="BV2" s="330"/>
      <c r="BW2" s="330"/>
      <c r="BX2" s="330"/>
      <c r="BY2" s="330"/>
      <c r="BZ2" s="330"/>
      <c r="CA2" s="330"/>
      <c r="CB2" s="330"/>
      <c r="CC2" s="330"/>
      <c r="CD2" s="330"/>
      <c r="CE2" s="330"/>
      <c r="CF2" s="330"/>
      <c r="CG2" s="330"/>
      <c r="CH2" s="330"/>
      <c r="CI2" s="330"/>
      <c r="CJ2" s="330"/>
      <c r="CK2" s="330"/>
      <c r="CL2" s="330"/>
      <c r="CM2" s="330"/>
      <c r="CN2" s="330"/>
      <c r="CO2" s="330"/>
      <c r="CP2" s="330"/>
      <c r="CQ2" s="330"/>
      <c r="CR2" s="330"/>
      <c r="CS2" s="330"/>
      <c r="CT2" s="330"/>
      <c r="CU2" s="330"/>
      <c r="CV2" s="330"/>
      <c r="CW2" s="330"/>
      <c r="CX2" s="330"/>
      <c r="CY2" s="330"/>
      <c r="CZ2" s="331"/>
      <c r="DA2" s="18"/>
      <c r="DB2" s="18"/>
      <c r="DC2" s="18"/>
      <c r="DD2" s="18"/>
      <c r="DE2" s="18"/>
      <c r="DF2" s="18"/>
      <c r="DG2" s="18"/>
      <c r="DH2" s="18"/>
      <c r="DJ2" s="320" t="s">
        <v>10</v>
      </c>
      <c r="DK2" s="320"/>
      <c r="DL2" s="320"/>
      <c r="DM2" s="320"/>
      <c r="DN2" s="320"/>
      <c r="DO2" s="320"/>
      <c r="DP2" s="320"/>
      <c r="DQ2" s="320"/>
      <c r="DR2" s="312"/>
      <c r="DS2" s="312"/>
      <c r="DT2" s="312"/>
      <c r="DU2" s="312"/>
      <c r="DV2" s="312"/>
      <c r="DW2" s="312"/>
      <c r="DX2" s="312"/>
      <c r="DY2" s="312"/>
      <c r="DZ2" s="312"/>
      <c r="EA2" s="312"/>
      <c r="EB2" s="312"/>
      <c r="EC2" s="312"/>
      <c r="ED2" s="312">
        <v>45419</v>
      </c>
      <c r="EE2" s="312"/>
      <c r="EF2" s="312"/>
      <c r="EG2" s="312"/>
      <c r="EH2" s="312"/>
      <c r="EI2" s="312"/>
      <c r="EJ2" s="17"/>
    </row>
    <row r="3" spans="1:140" ht="6.75" customHeight="1">
      <c r="A3" s="295" t="s">
        <v>390</v>
      </c>
      <c r="B3" s="296"/>
      <c r="C3" s="296"/>
      <c r="D3" s="296"/>
      <c r="E3" s="296"/>
      <c r="F3" s="296"/>
      <c r="G3" s="296"/>
      <c r="H3" s="296"/>
      <c r="I3" s="296"/>
      <c r="J3" s="296"/>
      <c r="K3" s="296"/>
      <c r="L3" s="296"/>
      <c r="M3" s="296"/>
      <c r="N3" s="296"/>
      <c r="O3" s="296"/>
      <c r="P3" s="296"/>
      <c r="Q3" s="296"/>
      <c r="R3" s="296"/>
      <c r="S3" s="296"/>
      <c r="T3" s="296"/>
      <c r="U3" s="296"/>
      <c r="V3" s="296"/>
      <c r="W3" s="296"/>
      <c r="X3" s="296"/>
      <c r="Y3" s="296"/>
      <c r="Z3" s="296"/>
      <c r="AA3" s="296"/>
      <c r="AB3" s="296"/>
      <c r="AC3" s="296"/>
      <c r="AD3" s="296"/>
      <c r="AE3" s="296"/>
      <c r="AF3" s="296"/>
      <c r="AG3" s="296"/>
      <c r="AH3" s="296"/>
      <c r="AI3" s="296"/>
      <c r="AJ3" s="296"/>
      <c r="AK3" s="296"/>
      <c r="AL3" s="296"/>
      <c r="AM3" s="296"/>
      <c r="AN3" s="296"/>
      <c r="AO3" s="296"/>
      <c r="AP3" s="296"/>
      <c r="AQ3" s="296"/>
      <c r="AR3" s="296"/>
      <c r="AS3" s="296"/>
      <c r="AT3" s="296"/>
      <c r="AU3" s="296"/>
      <c r="AV3" s="296"/>
      <c r="AW3" s="296"/>
      <c r="AX3" s="296"/>
      <c r="AY3" s="296"/>
      <c r="AZ3" s="296"/>
      <c r="BA3" s="296"/>
      <c r="BB3" s="296"/>
      <c r="BC3" s="296"/>
      <c r="BD3" s="296"/>
      <c r="BE3" s="296"/>
      <c r="BF3" s="296"/>
      <c r="BG3" s="296"/>
      <c r="BH3" s="296"/>
      <c r="BI3" s="296"/>
      <c r="BJ3" s="296"/>
      <c r="BK3" s="296"/>
      <c r="BL3" s="296"/>
      <c r="BM3" s="296"/>
      <c r="BN3" s="297"/>
      <c r="BP3" s="367"/>
      <c r="BQ3" s="368"/>
      <c r="BR3" s="368"/>
      <c r="BS3" s="368"/>
      <c r="BT3" s="368"/>
      <c r="BU3" s="332"/>
      <c r="BV3" s="333"/>
      <c r="BW3" s="333"/>
      <c r="BX3" s="333"/>
      <c r="BY3" s="333"/>
      <c r="BZ3" s="333"/>
      <c r="CA3" s="333"/>
      <c r="CB3" s="333"/>
      <c r="CC3" s="333"/>
      <c r="CD3" s="333"/>
      <c r="CE3" s="333"/>
      <c r="CF3" s="333"/>
      <c r="CG3" s="333"/>
      <c r="CH3" s="333"/>
      <c r="CI3" s="333"/>
      <c r="CJ3" s="333"/>
      <c r="CK3" s="333"/>
      <c r="CL3" s="333"/>
      <c r="CM3" s="333"/>
      <c r="CN3" s="333"/>
      <c r="CO3" s="333"/>
      <c r="CP3" s="333"/>
      <c r="CQ3" s="333"/>
      <c r="CR3" s="333"/>
      <c r="CS3" s="333"/>
      <c r="CT3" s="333"/>
      <c r="CU3" s="333"/>
      <c r="CV3" s="333"/>
      <c r="CW3" s="333"/>
      <c r="CX3" s="333"/>
      <c r="CY3" s="333"/>
      <c r="CZ3" s="334"/>
      <c r="DA3" s="18"/>
      <c r="DB3" s="18"/>
      <c r="DC3" s="18"/>
      <c r="DD3" s="18"/>
      <c r="DE3" s="18"/>
      <c r="DF3" s="18"/>
      <c r="DG3" s="18"/>
      <c r="DH3" s="18"/>
      <c r="DJ3" s="320"/>
      <c r="DK3" s="320"/>
      <c r="DL3" s="320"/>
      <c r="DM3" s="320"/>
      <c r="DN3" s="320"/>
      <c r="DO3" s="320"/>
      <c r="DP3" s="320"/>
      <c r="DQ3" s="320"/>
      <c r="DR3" s="312"/>
      <c r="DS3" s="312"/>
      <c r="DT3" s="312"/>
      <c r="DU3" s="312"/>
      <c r="DV3" s="312"/>
      <c r="DW3" s="312"/>
      <c r="DX3" s="312"/>
      <c r="DY3" s="312"/>
      <c r="DZ3" s="312"/>
      <c r="EA3" s="312"/>
      <c r="EB3" s="312"/>
      <c r="EC3" s="312"/>
      <c r="ED3" s="312"/>
      <c r="EE3" s="312"/>
      <c r="EF3" s="312"/>
      <c r="EG3" s="312"/>
      <c r="EH3" s="312"/>
      <c r="EI3" s="312"/>
      <c r="EJ3" s="17"/>
    </row>
    <row r="4" spans="1:140" ht="13.7" customHeight="1">
      <c r="A4" s="298"/>
      <c r="B4" s="299"/>
      <c r="C4" s="299"/>
      <c r="D4" s="299"/>
      <c r="E4" s="299"/>
      <c r="F4" s="299"/>
      <c r="G4" s="299"/>
      <c r="H4" s="299"/>
      <c r="I4" s="299"/>
      <c r="J4" s="299"/>
      <c r="K4" s="299"/>
      <c r="L4" s="299"/>
      <c r="M4" s="299"/>
      <c r="N4" s="299"/>
      <c r="O4" s="299"/>
      <c r="P4" s="299"/>
      <c r="Q4" s="299"/>
      <c r="R4" s="299"/>
      <c r="S4" s="299"/>
      <c r="T4" s="299"/>
      <c r="U4" s="299"/>
      <c r="V4" s="299"/>
      <c r="W4" s="299"/>
      <c r="X4" s="299"/>
      <c r="Y4" s="299"/>
      <c r="Z4" s="299"/>
      <c r="AA4" s="299"/>
      <c r="AB4" s="299"/>
      <c r="AC4" s="299"/>
      <c r="AD4" s="299"/>
      <c r="AE4" s="299"/>
      <c r="AF4" s="299"/>
      <c r="AG4" s="299"/>
      <c r="AH4" s="299"/>
      <c r="AI4" s="299"/>
      <c r="AJ4" s="299"/>
      <c r="AK4" s="299"/>
      <c r="AL4" s="299"/>
      <c r="AM4" s="299"/>
      <c r="AN4" s="299"/>
      <c r="AO4" s="299"/>
      <c r="AP4" s="299"/>
      <c r="AQ4" s="299"/>
      <c r="AR4" s="299"/>
      <c r="AS4" s="299"/>
      <c r="AT4" s="299"/>
      <c r="AU4" s="299"/>
      <c r="AV4" s="299"/>
      <c r="AW4" s="299"/>
      <c r="AX4" s="299"/>
      <c r="AY4" s="299"/>
      <c r="AZ4" s="299"/>
      <c r="BA4" s="299"/>
      <c r="BB4" s="299"/>
      <c r="BC4" s="299"/>
      <c r="BD4" s="299"/>
      <c r="BE4" s="299"/>
      <c r="BF4" s="299"/>
      <c r="BG4" s="299"/>
      <c r="BH4" s="299"/>
      <c r="BI4" s="299"/>
      <c r="BJ4" s="299"/>
      <c r="BK4" s="299"/>
      <c r="BL4" s="299"/>
      <c r="BM4" s="299"/>
      <c r="BN4" s="300"/>
      <c r="BP4" s="354" t="s">
        <v>12</v>
      </c>
      <c r="BQ4" s="355"/>
      <c r="BR4" s="355"/>
      <c r="BS4" s="355"/>
      <c r="BT4" s="356"/>
      <c r="BU4" s="374" t="s">
        <v>385</v>
      </c>
      <c r="BV4" s="375"/>
      <c r="BW4" s="375"/>
      <c r="BX4" s="375"/>
      <c r="BY4" s="375"/>
      <c r="BZ4" s="375"/>
      <c r="CA4" s="375"/>
      <c r="CB4" s="375"/>
      <c r="CC4" s="375"/>
      <c r="CD4" s="375"/>
      <c r="CE4" s="375"/>
      <c r="CF4" s="375"/>
      <c r="CG4" s="376"/>
      <c r="CH4" s="369" t="s">
        <v>13</v>
      </c>
      <c r="CI4" s="369"/>
      <c r="CJ4" s="369"/>
      <c r="CK4" s="369"/>
      <c r="CL4" s="369"/>
      <c r="CM4" s="304">
        <v>290863</v>
      </c>
      <c r="CN4" s="305"/>
      <c r="CO4" s="305"/>
      <c r="CP4" s="305"/>
      <c r="CQ4" s="305"/>
      <c r="CR4" s="305"/>
      <c r="CS4" s="305"/>
      <c r="CT4" s="305"/>
      <c r="CU4" s="305"/>
      <c r="CV4" s="305"/>
      <c r="CW4" s="305"/>
      <c r="CX4" s="305"/>
      <c r="CY4" s="305"/>
      <c r="CZ4" s="306"/>
      <c r="DA4" s="18"/>
      <c r="DB4" s="18"/>
      <c r="DC4" s="18"/>
      <c r="DD4" s="18"/>
      <c r="DE4" s="18"/>
      <c r="DF4" s="18"/>
      <c r="DG4" s="18"/>
      <c r="DH4" s="18"/>
      <c r="DJ4" s="320" t="s">
        <v>14</v>
      </c>
      <c r="DK4" s="320"/>
      <c r="DL4" s="320"/>
      <c r="DM4" s="320"/>
      <c r="DN4" s="320"/>
      <c r="DO4" s="372" t="s">
        <v>15</v>
      </c>
      <c r="DP4" s="372"/>
      <c r="DQ4" s="372"/>
      <c r="DR4" s="312"/>
      <c r="DS4" s="312"/>
      <c r="DT4" s="312"/>
      <c r="DU4" s="312"/>
      <c r="DV4" s="312"/>
      <c r="DW4" s="312"/>
      <c r="DX4" s="312"/>
      <c r="DY4" s="312"/>
      <c r="DZ4" s="312"/>
      <c r="EA4" s="312"/>
      <c r="EB4" s="312"/>
      <c r="EC4" s="312"/>
      <c r="ED4" s="312" t="s">
        <v>11</v>
      </c>
      <c r="EE4" s="312"/>
      <c r="EF4" s="312"/>
      <c r="EG4" s="312"/>
      <c r="EH4" s="312"/>
      <c r="EI4" s="312"/>
      <c r="EJ4" s="17"/>
    </row>
    <row r="5" spans="1:140" ht="13.7" customHeight="1">
      <c r="A5" s="298"/>
      <c r="B5" s="299"/>
      <c r="C5" s="299"/>
      <c r="D5" s="299"/>
      <c r="E5" s="299"/>
      <c r="F5" s="299"/>
      <c r="G5" s="299"/>
      <c r="H5" s="299"/>
      <c r="I5" s="299"/>
      <c r="J5" s="299"/>
      <c r="K5" s="299"/>
      <c r="L5" s="299"/>
      <c r="M5" s="299"/>
      <c r="N5" s="299"/>
      <c r="O5" s="299"/>
      <c r="P5" s="299"/>
      <c r="Q5" s="299"/>
      <c r="R5" s="299"/>
      <c r="S5" s="299"/>
      <c r="T5" s="299"/>
      <c r="U5" s="299"/>
      <c r="V5" s="299"/>
      <c r="W5" s="299"/>
      <c r="X5" s="299"/>
      <c r="Y5" s="299"/>
      <c r="Z5" s="299"/>
      <c r="AA5" s="299"/>
      <c r="AB5" s="299"/>
      <c r="AC5" s="299"/>
      <c r="AD5" s="299"/>
      <c r="AE5" s="299"/>
      <c r="AF5" s="299"/>
      <c r="AG5" s="299"/>
      <c r="AH5" s="299"/>
      <c r="AI5" s="299"/>
      <c r="AJ5" s="299"/>
      <c r="AK5" s="299"/>
      <c r="AL5" s="299"/>
      <c r="AM5" s="299"/>
      <c r="AN5" s="299"/>
      <c r="AO5" s="299"/>
      <c r="AP5" s="299"/>
      <c r="AQ5" s="299"/>
      <c r="AR5" s="299"/>
      <c r="AS5" s="299"/>
      <c r="AT5" s="299"/>
      <c r="AU5" s="299"/>
      <c r="AV5" s="299"/>
      <c r="AW5" s="299"/>
      <c r="AX5" s="299"/>
      <c r="AY5" s="299"/>
      <c r="AZ5" s="299"/>
      <c r="BA5" s="299"/>
      <c r="BB5" s="299"/>
      <c r="BC5" s="299"/>
      <c r="BD5" s="299"/>
      <c r="BE5" s="299"/>
      <c r="BF5" s="299"/>
      <c r="BG5" s="299"/>
      <c r="BH5" s="299"/>
      <c r="BI5" s="299"/>
      <c r="BJ5" s="299"/>
      <c r="BK5" s="299"/>
      <c r="BL5" s="299"/>
      <c r="BM5" s="299"/>
      <c r="BN5" s="300"/>
      <c r="BP5" s="357"/>
      <c r="BQ5" s="358"/>
      <c r="BR5" s="358"/>
      <c r="BS5" s="358"/>
      <c r="BT5" s="359"/>
      <c r="BU5" s="374"/>
      <c r="BV5" s="375"/>
      <c r="BW5" s="375"/>
      <c r="BX5" s="375"/>
      <c r="BY5" s="375"/>
      <c r="BZ5" s="375"/>
      <c r="CA5" s="375"/>
      <c r="CB5" s="375"/>
      <c r="CC5" s="375"/>
      <c r="CD5" s="375"/>
      <c r="CE5" s="375"/>
      <c r="CF5" s="375"/>
      <c r="CG5" s="376"/>
      <c r="CH5" s="370"/>
      <c r="CI5" s="370"/>
      <c r="CJ5" s="370"/>
      <c r="CK5" s="370"/>
      <c r="CL5" s="370"/>
      <c r="CM5" s="304"/>
      <c r="CN5" s="305"/>
      <c r="CO5" s="305"/>
      <c r="CP5" s="305"/>
      <c r="CQ5" s="305"/>
      <c r="CR5" s="305"/>
      <c r="CS5" s="305"/>
      <c r="CT5" s="305"/>
      <c r="CU5" s="305"/>
      <c r="CV5" s="305"/>
      <c r="CW5" s="305"/>
      <c r="CX5" s="305"/>
      <c r="CY5" s="305"/>
      <c r="CZ5" s="306"/>
      <c r="DA5" s="18"/>
      <c r="DB5" s="18"/>
      <c r="DC5" s="18"/>
      <c r="DD5" s="18"/>
      <c r="DE5" s="18"/>
      <c r="DF5" s="18"/>
      <c r="DG5" s="18"/>
      <c r="DH5" s="18"/>
      <c r="DJ5" s="320"/>
      <c r="DK5" s="320"/>
      <c r="DL5" s="320"/>
      <c r="DM5" s="320"/>
      <c r="DN5" s="320"/>
      <c r="DO5" s="373"/>
      <c r="DP5" s="373"/>
      <c r="DQ5" s="373"/>
      <c r="DR5" s="313"/>
      <c r="DS5" s="313"/>
      <c r="DT5" s="313"/>
      <c r="DU5" s="313"/>
      <c r="DV5" s="313"/>
      <c r="DW5" s="313"/>
      <c r="DX5" s="313"/>
      <c r="DY5" s="313"/>
      <c r="DZ5" s="313"/>
      <c r="EA5" s="313"/>
      <c r="EB5" s="313"/>
      <c r="EC5" s="313"/>
      <c r="ED5" s="313"/>
      <c r="EE5" s="313"/>
      <c r="EF5" s="313"/>
      <c r="EG5" s="313"/>
      <c r="EH5" s="313"/>
      <c r="EI5" s="313"/>
      <c r="EJ5" s="17"/>
    </row>
    <row r="6" spans="1:140" ht="13.7" customHeight="1">
      <c r="A6" s="298"/>
      <c r="B6" s="299"/>
      <c r="C6" s="299"/>
      <c r="D6" s="299"/>
      <c r="E6" s="299"/>
      <c r="F6" s="299"/>
      <c r="G6" s="299"/>
      <c r="H6" s="299"/>
      <c r="I6" s="299"/>
      <c r="J6" s="299"/>
      <c r="K6" s="299"/>
      <c r="L6" s="299"/>
      <c r="M6" s="299"/>
      <c r="N6" s="299"/>
      <c r="O6" s="299"/>
      <c r="P6" s="299"/>
      <c r="Q6" s="299"/>
      <c r="R6" s="299"/>
      <c r="S6" s="299"/>
      <c r="T6" s="299"/>
      <c r="U6" s="299"/>
      <c r="V6" s="299"/>
      <c r="W6" s="299"/>
      <c r="X6" s="299"/>
      <c r="Y6" s="299"/>
      <c r="Z6" s="299"/>
      <c r="AA6" s="299"/>
      <c r="AB6" s="299"/>
      <c r="AC6" s="299"/>
      <c r="AD6" s="299"/>
      <c r="AE6" s="299"/>
      <c r="AF6" s="299"/>
      <c r="AG6" s="299"/>
      <c r="AH6" s="299"/>
      <c r="AI6" s="299"/>
      <c r="AJ6" s="299"/>
      <c r="AK6" s="299"/>
      <c r="AL6" s="299"/>
      <c r="AM6" s="299"/>
      <c r="AN6" s="299"/>
      <c r="AO6" s="299"/>
      <c r="AP6" s="299"/>
      <c r="AQ6" s="299"/>
      <c r="AR6" s="299"/>
      <c r="AS6" s="299"/>
      <c r="AT6" s="299"/>
      <c r="AU6" s="299"/>
      <c r="AV6" s="299"/>
      <c r="AW6" s="299"/>
      <c r="AX6" s="299"/>
      <c r="AY6" s="299"/>
      <c r="AZ6" s="299"/>
      <c r="BA6" s="299"/>
      <c r="BB6" s="299"/>
      <c r="BC6" s="299"/>
      <c r="BD6" s="299"/>
      <c r="BE6" s="299"/>
      <c r="BF6" s="299"/>
      <c r="BG6" s="299"/>
      <c r="BH6" s="299"/>
      <c r="BI6" s="299"/>
      <c r="BJ6" s="299"/>
      <c r="BK6" s="299"/>
      <c r="BL6" s="299"/>
      <c r="BM6" s="299"/>
      <c r="BN6" s="300"/>
      <c r="BP6" s="354" t="s">
        <v>16</v>
      </c>
      <c r="BQ6" s="355"/>
      <c r="BR6" s="355"/>
      <c r="BS6" s="355"/>
      <c r="BT6" s="356"/>
      <c r="BU6" s="304" t="s">
        <v>386</v>
      </c>
      <c r="BV6" s="305"/>
      <c r="BW6" s="305"/>
      <c r="BX6" s="305"/>
      <c r="BY6" s="305"/>
      <c r="BZ6" s="305"/>
      <c r="CA6" s="305"/>
      <c r="CB6" s="305"/>
      <c r="CC6" s="305"/>
      <c r="CD6" s="305"/>
      <c r="CE6" s="305"/>
      <c r="CF6" s="305"/>
      <c r="CG6" s="306"/>
      <c r="CH6" s="355" t="s">
        <v>17</v>
      </c>
      <c r="CI6" s="366"/>
      <c r="CJ6" s="366"/>
      <c r="CK6" s="366"/>
      <c r="CL6" s="366"/>
      <c r="CM6" s="304" t="s">
        <v>387</v>
      </c>
      <c r="CN6" s="305"/>
      <c r="CO6" s="305"/>
      <c r="CP6" s="305"/>
      <c r="CQ6" s="305"/>
      <c r="CR6" s="305"/>
      <c r="CS6" s="305"/>
      <c r="CT6" s="305"/>
      <c r="CU6" s="305"/>
      <c r="CV6" s="305"/>
      <c r="CW6" s="305"/>
      <c r="CX6" s="305"/>
      <c r="CY6" s="305"/>
      <c r="CZ6" s="306"/>
      <c r="DA6" s="18"/>
      <c r="DB6" s="18"/>
      <c r="DC6" s="18"/>
      <c r="DD6" s="18"/>
      <c r="DE6" s="18"/>
      <c r="DF6" s="18"/>
      <c r="DG6" s="18"/>
      <c r="DH6" s="18"/>
      <c r="DJ6" s="320"/>
      <c r="DK6" s="320"/>
      <c r="DL6" s="320"/>
      <c r="DM6" s="320"/>
      <c r="DN6" s="320"/>
      <c r="DO6" s="371" t="s">
        <v>18</v>
      </c>
      <c r="DP6" s="371"/>
      <c r="DQ6" s="371"/>
      <c r="DR6" s="310"/>
      <c r="DS6" s="310"/>
      <c r="DT6" s="310"/>
      <c r="DU6" s="310"/>
      <c r="DV6" s="310"/>
      <c r="DW6" s="310"/>
      <c r="DX6" s="343"/>
      <c r="DY6" s="343"/>
      <c r="DZ6" s="343"/>
      <c r="EA6" s="343"/>
      <c r="EB6" s="343"/>
      <c r="EC6" s="343"/>
      <c r="ED6" s="343" t="s">
        <v>19</v>
      </c>
      <c r="EE6" s="343"/>
      <c r="EF6" s="343"/>
      <c r="EG6" s="343"/>
      <c r="EH6" s="343"/>
      <c r="EI6" s="343"/>
      <c r="EJ6" s="17"/>
    </row>
    <row r="7" spans="1:140" ht="13.7" customHeight="1">
      <c r="A7" s="298"/>
      <c r="B7" s="299"/>
      <c r="C7" s="299"/>
      <c r="D7" s="299"/>
      <c r="E7" s="299"/>
      <c r="F7" s="299"/>
      <c r="G7" s="299"/>
      <c r="H7" s="299"/>
      <c r="I7" s="299"/>
      <c r="J7" s="299"/>
      <c r="K7" s="299"/>
      <c r="L7" s="299"/>
      <c r="M7" s="299"/>
      <c r="N7" s="299"/>
      <c r="O7" s="299"/>
      <c r="P7" s="299"/>
      <c r="Q7" s="299"/>
      <c r="R7" s="299"/>
      <c r="S7" s="299"/>
      <c r="T7" s="299"/>
      <c r="U7" s="299"/>
      <c r="V7" s="299"/>
      <c r="W7" s="299"/>
      <c r="X7" s="299"/>
      <c r="Y7" s="299"/>
      <c r="Z7" s="299"/>
      <c r="AA7" s="299"/>
      <c r="AB7" s="299"/>
      <c r="AC7" s="299"/>
      <c r="AD7" s="299"/>
      <c r="AE7" s="299"/>
      <c r="AF7" s="299"/>
      <c r="AG7" s="299"/>
      <c r="AH7" s="299"/>
      <c r="AI7" s="299"/>
      <c r="AJ7" s="299"/>
      <c r="AK7" s="299"/>
      <c r="AL7" s="299"/>
      <c r="AM7" s="299"/>
      <c r="AN7" s="299"/>
      <c r="AO7" s="299"/>
      <c r="AP7" s="299"/>
      <c r="AQ7" s="299"/>
      <c r="AR7" s="299"/>
      <c r="AS7" s="299"/>
      <c r="AT7" s="299"/>
      <c r="AU7" s="299"/>
      <c r="AV7" s="299"/>
      <c r="AW7" s="299"/>
      <c r="AX7" s="299"/>
      <c r="AY7" s="299"/>
      <c r="AZ7" s="299"/>
      <c r="BA7" s="299"/>
      <c r="BB7" s="299"/>
      <c r="BC7" s="299"/>
      <c r="BD7" s="299"/>
      <c r="BE7" s="299"/>
      <c r="BF7" s="299"/>
      <c r="BG7" s="299"/>
      <c r="BH7" s="299"/>
      <c r="BI7" s="299"/>
      <c r="BJ7" s="299"/>
      <c r="BK7" s="299"/>
      <c r="BL7" s="299"/>
      <c r="BM7" s="299"/>
      <c r="BN7" s="300"/>
      <c r="BP7" s="357"/>
      <c r="BQ7" s="358"/>
      <c r="BR7" s="358"/>
      <c r="BS7" s="358"/>
      <c r="BT7" s="359"/>
      <c r="BU7" s="304"/>
      <c r="BV7" s="305"/>
      <c r="BW7" s="305"/>
      <c r="BX7" s="305"/>
      <c r="BY7" s="305"/>
      <c r="BZ7" s="305"/>
      <c r="CA7" s="305"/>
      <c r="CB7" s="305"/>
      <c r="CC7" s="305"/>
      <c r="CD7" s="305"/>
      <c r="CE7" s="305"/>
      <c r="CF7" s="305"/>
      <c r="CG7" s="306"/>
      <c r="CH7" s="368"/>
      <c r="CI7" s="368"/>
      <c r="CJ7" s="368"/>
      <c r="CK7" s="368"/>
      <c r="CL7" s="368"/>
      <c r="CM7" s="304"/>
      <c r="CN7" s="305"/>
      <c r="CO7" s="305"/>
      <c r="CP7" s="305"/>
      <c r="CQ7" s="305"/>
      <c r="CR7" s="305"/>
      <c r="CS7" s="305"/>
      <c r="CT7" s="305"/>
      <c r="CU7" s="305"/>
      <c r="CV7" s="305"/>
      <c r="CW7" s="305"/>
      <c r="CX7" s="305"/>
      <c r="CY7" s="305"/>
      <c r="CZ7" s="306"/>
      <c r="DA7" s="18"/>
      <c r="DB7" s="18"/>
      <c r="DC7" s="18"/>
      <c r="DD7" s="18"/>
      <c r="DE7" s="18"/>
      <c r="DF7" s="18"/>
      <c r="DG7" s="18"/>
      <c r="DH7" s="18"/>
      <c r="DJ7" s="320"/>
      <c r="DK7" s="320"/>
      <c r="DL7" s="320"/>
      <c r="DM7" s="320"/>
      <c r="DN7" s="320"/>
      <c r="DO7" s="372"/>
      <c r="DP7" s="372"/>
      <c r="DQ7" s="372"/>
      <c r="DR7" s="311"/>
      <c r="DS7" s="311"/>
      <c r="DT7" s="311"/>
      <c r="DU7" s="311"/>
      <c r="DV7" s="311"/>
      <c r="DW7" s="311"/>
      <c r="DX7" s="312"/>
      <c r="DY7" s="312"/>
      <c r="DZ7" s="312"/>
      <c r="EA7" s="312"/>
      <c r="EB7" s="312"/>
      <c r="EC7" s="312"/>
      <c r="ED7" s="312"/>
      <c r="EE7" s="312"/>
      <c r="EF7" s="312"/>
      <c r="EG7" s="312"/>
      <c r="EH7" s="312"/>
      <c r="EI7" s="312"/>
      <c r="EJ7" s="17"/>
    </row>
    <row r="8" spans="1:140" ht="27" customHeight="1">
      <c r="A8" s="298"/>
      <c r="B8" s="299"/>
      <c r="C8" s="299"/>
      <c r="D8" s="299"/>
      <c r="E8" s="299"/>
      <c r="F8" s="299"/>
      <c r="G8" s="299"/>
      <c r="H8" s="299"/>
      <c r="I8" s="299"/>
      <c r="J8" s="299"/>
      <c r="K8" s="299"/>
      <c r="L8" s="299"/>
      <c r="M8" s="299"/>
      <c r="N8" s="299"/>
      <c r="O8" s="299"/>
      <c r="P8" s="299"/>
      <c r="Q8" s="299"/>
      <c r="R8" s="299"/>
      <c r="S8" s="299"/>
      <c r="T8" s="299"/>
      <c r="U8" s="299"/>
      <c r="V8" s="299"/>
      <c r="W8" s="299"/>
      <c r="X8" s="299"/>
      <c r="Y8" s="299"/>
      <c r="Z8" s="299"/>
      <c r="AA8" s="299"/>
      <c r="AB8" s="299"/>
      <c r="AC8" s="299"/>
      <c r="AD8" s="299"/>
      <c r="AE8" s="299"/>
      <c r="AF8" s="299"/>
      <c r="AG8" s="299"/>
      <c r="AH8" s="299"/>
      <c r="AI8" s="299"/>
      <c r="AJ8" s="299"/>
      <c r="AK8" s="299"/>
      <c r="AL8" s="299"/>
      <c r="AM8" s="299"/>
      <c r="AN8" s="299"/>
      <c r="AO8" s="299"/>
      <c r="AP8" s="299"/>
      <c r="AQ8" s="299"/>
      <c r="AR8" s="299"/>
      <c r="AS8" s="299"/>
      <c r="AT8" s="299"/>
      <c r="AU8" s="299"/>
      <c r="AV8" s="299"/>
      <c r="AW8" s="299"/>
      <c r="AX8" s="299"/>
      <c r="AY8" s="299"/>
      <c r="AZ8" s="299"/>
      <c r="BA8" s="299"/>
      <c r="BB8" s="299"/>
      <c r="BC8" s="299"/>
      <c r="BD8" s="299"/>
      <c r="BE8" s="299"/>
      <c r="BF8" s="299"/>
      <c r="BG8" s="299"/>
      <c r="BH8" s="299"/>
      <c r="BI8" s="299"/>
      <c r="BJ8" s="299"/>
      <c r="BK8" s="299"/>
      <c r="BL8" s="299"/>
      <c r="BM8" s="299"/>
      <c r="BN8" s="300"/>
      <c r="BP8" s="335" t="s">
        <v>20</v>
      </c>
      <c r="BQ8" s="335"/>
      <c r="BR8" s="335"/>
      <c r="BS8" s="335"/>
      <c r="BT8" s="335"/>
      <c r="BU8" s="335"/>
      <c r="BV8" s="335"/>
      <c r="BW8" s="335"/>
      <c r="BX8" s="335"/>
      <c r="BY8" s="335"/>
      <c r="BZ8" s="335"/>
      <c r="CA8" s="335"/>
      <c r="CB8" s="335"/>
      <c r="CC8" s="335"/>
      <c r="CD8" s="335"/>
      <c r="CE8" s="335"/>
      <c r="CF8" s="335"/>
      <c r="CG8" s="335"/>
      <c r="CH8" s="335"/>
      <c r="CI8" s="335"/>
      <c r="CJ8" s="335"/>
      <c r="CK8" s="335"/>
      <c r="CL8" s="335"/>
      <c r="CM8" s="335"/>
      <c r="CN8" s="335"/>
      <c r="CO8" s="335"/>
      <c r="CP8" s="335"/>
      <c r="CQ8" s="335"/>
      <c r="CR8" s="335"/>
      <c r="CS8" s="335"/>
      <c r="CT8" s="335"/>
      <c r="CU8" s="335"/>
      <c r="CV8" s="335"/>
      <c r="CW8" s="335"/>
      <c r="CX8" s="335"/>
      <c r="CY8" s="335"/>
      <c r="CZ8" s="335"/>
      <c r="DA8" s="335"/>
      <c r="DB8" s="335"/>
      <c r="DC8" s="335"/>
      <c r="DD8" s="335"/>
      <c r="DE8" s="335"/>
      <c r="DF8" s="335"/>
      <c r="DG8" s="335"/>
      <c r="DJ8" s="360" t="s">
        <v>21</v>
      </c>
      <c r="DK8" s="361"/>
      <c r="DL8" s="361"/>
      <c r="DM8" s="361"/>
      <c r="DN8" s="362"/>
      <c r="DO8" s="442" t="s">
        <v>15</v>
      </c>
      <c r="DP8" s="443"/>
      <c r="DQ8" s="444"/>
      <c r="DR8" s="317"/>
      <c r="DS8" s="318"/>
      <c r="DT8" s="318"/>
      <c r="DU8" s="318"/>
      <c r="DV8" s="318"/>
      <c r="DW8" s="319"/>
      <c r="DX8" s="317"/>
      <c r="DY8" s="318"/>
      <c r="DZ8" s="318"/>
      <c r="EA8" s="318"/>
      <c r="EB8" s="318"/>
      <c r="EC8" s="319"/>
      <c r="ED8" s="317" t="s">
        <v>22</v>
      </c>
      <c r="EE8" s="318"/>
      <c r="EF8" s="318"/>
      <c r="EG8" s="318"/>
      <c r="EH8" s="318"/>
      <c r="EI8" s="319"/>
      <c r="EJ8" s="17"/>
    </row>
    <row r="9" spans="1:140" ht="27.75" customHeight="1">
      <c r="A9" s="298"/>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9"/>
      <c r="AM9" s="299"/>
      <c r="AN9" s="299"/>
      <c r="AO9" s="299"/>
      <c r="AP9" s="299"/>
      <c r="AQ9" s="299"/>
      <c r="AR9" s="299"/>
      <c r="AS9" s="299"/>
      <c r="AT9" s="299"/>
      <c r="AU9" s="299"/>
      <c r="AV9" s="299"/>
      <c r="AW9" s="299"/>
      <c r="AX9" s="299"/>
      <c r="AY9" s="299"/>
      <c r="AZ9" s="299"/>
      <c r="BA9" s="299"/>
      <c r="BB9" s="299"/>
      <c r="BC9" s="299"/>
      <c r="BD9" s="299"/>
      <c r="BE9" s="299"/>
      <c r="BF9" s="299"/>
      <c r="BG9" s="299"/>
      <c r="BH9" s="299"/>
      <c r="BI9" s="299"/>
      <c r="BJ9" s="299"/>
      <c r="BK9" s="299"/>
      <c r="BL9" s="299"/>
      <c r="BM9" s="299"/>
      <c r="BN9" s="300"/>
      <c r="BP9" s="445" t="s">
        <v>23</v>
      </c>
      <c r="BQ9" s="445"/>
      <c r="BR9" s="445"/>
      <c r="BS9" s="445"/>
      <c r="BT9" s="445"/>
      <c r="BU9" s="445"/>
      <c r="BV9" s="445"/>
      <c r="BW9" s="445"/>
      <c r="BX9" s="445"/>
      <c r="BY9" s="445"/>
      <c r="BZ9" s="445"/>
      <c r="CA9" s="445"/>
      <c r="CB9" s="445"/>
      <c r="CC9" s="445"/>
      <c r="CD9" s="445"/>
      <c r="CE9" s="445"/>
      <c r="CF9" s="445"/>
      <c r="CG9" s="445"/>
      <c r="CH9" s="445"/>
      <c r="CI9" s="445"/>
      <c r="CJ9" s="445"/>
      <c r="CK9" s="445"/>
      <c r="CL9" s="445"/>
      <c r="CM9" s="445"/>
      <c r="CN9" s="445"/>
      <c r="CO9" s="445"/>
      <c r="CP9" s="445"/>
      <c r="CQ9" s="445"/>
      <c r="CR9" s="445"/>
      <c r="CS9" s="445"/>
      <c r="CT9" s="445"/>
      <c r="CU9" s="445"/>
      <c r="CV9" s="445"/>
      <c r="CW9" s="445"/>
      <c r="CX9" s="445"/>
      <c r="CY9" s="445"/>
      <c r="CZ9" s="445"/>
      <c r="DA9" s="445"/>
      <c r="DB9" s="445"/>
      <c r="DC9" s="445"/>
      <c r="DD9" s="445"/>
      <c r="DE9" s="445"/>
      <c r="DF9" s="445"/>
      <c r="DG9" s="445"/>
      <c r="DJ9" s="363"/>
      <c r="DK9" s="364"/>
      <c r="DL9" s="364"/>
      <c r="DM9" s="364"/>
      <c r="DN9" s="365"/>
      <c r="DO9" s="377" t="s">
        <v>18</v>
      </c>
      <c r="DP9" s="378"/>
      <c r="DQ9" s="379"/>
      <c r="DR9" s="380"/>
      <c r="DS9" s="381"/>
      <c r="DT9" s="381"/>
      <c r="DU9" s="381"/>
      <c r="DV9" s="381"/>
      <c r="DW9" s="382"/>
      <c r="DX9" s="344"/>
      <c r="DY9" s="345"/>
      <c r="DZ9" s="345"/>
      <c r="EA9" s="345"/>
      <c r="EB9" s="345"/>
      <c r="EC9" s="346"/>
      <c r="ED9" s="344" t="s">
        <v>24</v>
      </c>
      <c r="EE9" s="345"/>
      <c r="EF9" s="345"/>
      <c r="EG9" s="345"/>
      <c r="EH9" s="345"/>
      <c r="EI9" s="346"/>
      <c r="EJ9" s="17"/>
    </row>
    <row r="10" spans="1:140" ht="78.75" customHeight="1">
      <c r="A10" s="301"/>
      <c r="B10" s="302"/>
      <c r="C10" s="302"/>
      <c r="D10" s="302"/>
      <c r="E10" s="302"/>
      <c r="F10" s="302"/>
      <c r="G10" s="302"/>
      <c r="H10" s="302"/>
      <c r="I10" s="302"/>
      <c r="J10" s="302"/>
      <c r="K10" s="302"/>
      <c r="L10" s="302"/>
      <c r="M10" s="302"/>
      <c r="N10" s="302"/>
      <c r="O10" s="302"/>
      <c r="P10" s="302"/>
      <c r="Q10" s="302"/>
      <c r="R10" s="302"/>
      <c r="S10" s="302"/>
      <c r="T10" s="302"/>
      <c r="U10" s="302"/>
      <c r="V10" s="302"/>
      <c r="W10" s="302"/>
      <c r="X10" s="302"/>
      <c r="Y10" s="302"/>
      <c r="Z10" s="302"/>
      <c r="AA10" s="302"/>
      <c r="AB10" s="302"/>
      <c r="AC10" s="302"/>
      <c r="AD10" s="302"/>
      <c r="AE10" s="302"/>
      <c r="AF10" s="302"/>
      <c r="AG10" s="302"/>
      <c r="AH10" s="302"/>
      <c r="AI10" s="302"/>
      <c r="AJ10" s="302"/>
      <c r="AK10" s="302"/>
      <c r="AL10" s="302"/>
      <c r="AM10" s="302"/>
      <c r="AN10" s="302"/>
      <c r="AO10" s="302"/>
      <c r="AP10" s="302"/>
      <c r="AQ10" s="302"/>
      <c r="AR10" s="302"/>
      <c r="AS10" s="302"/>
      <c r="AT10" s="302"/>
      <c r="AU10" s="302"/>
      <c r="AV10" s="302"/>
      <c r="AW10" s="302"/>
      <c r="AX10" s="302"/>
      <c r="AY10" s="302"/>
      <c r="AZ10" s="302"/>
      <c r="BA10" s="302"/>
      <c r="BB10" s="302"/>
      <c r="BC10" s="302"/>
      <c r="BD10" s="302"/>
      <c r="BE10" s="302"/>
      <c r="BF10" s="302"/>
      <c r="BG10" s="302"/>
      <c r="BH10" s="302"/>
      <c r="BI10" s="302"/>
      <c r="BJ10" s="302"/>
      <c r="BK10" s="302"/>
      <c r="BL10" s="302"/>
      <c r="BM10" s="302"/>
      <c r="BN10" s="303"/>
      <c r="BP10" s="383" t="s">
        <v>25</v>
      </c>
      <c r="BQ10" s="383"/>
      <c r="BR10" s="383"/>
      <c r="BS10" s="383"/>
      <c r="BT10" s="383"/>
      <c r="BU10" s="383"/>
      <c r="BV10" s="383"/>
      <c r="BW10" s="383"/>
      <c r="BX10" s="383"/>
      <c r="BY10" s="383"/>
      <c r="BZ10" s="383"/>
      <c r="CA10" s="383"/>
      <c r="CB10" s="383"/>
      <c r="CC10" s="383"/>
      <c r="CD10" s="383"/>
      <c r="CE10" s="383"/>
      <c r="CF10" s="383"/>
      <c r="CG10" s="383"/>
      <c r="CH10" s="383"/>
      <c r="CI10" s="383"/>
      <c r="CJ10" s="383"/>
      <c r="CK10" s="383"/>
      <c r="CL10" s="383"/>
      <c r="CM10" s="383"/>
      <c r="CN10" s="383"/>
      <c r="CO10" s="383"/>
      <c r="CP10" s="383"/>
      <c r="CQ10" s="383"/>
      <c r="CR10" s="383"/>
      <c r="CS10" s="383"/>
      <c r="CT10" s="383"/>
      <c r="CU10" s="383"/>
      <c r="CV10" s="383"/>
      <c r="CW10" s="383"/>
      <c r="CX10" s="383"/>
      <c r="CY10" s="383"/>
      <c r="CZ10" s="383"/>
      <c r="DA10" s="383"/>
      <c r="DB10" s="383"/>
      <c r="DC10" s="383"/>
      <c r="DD10" s="21"/>
      <c r="DE10" s="21"/>
      <c r="DF10" s="21"/>
      <c r="DG10" s="21"/>
      <c r="DJ10" s="65"/>
      <c r="DK10" s="65"/>
      <c r="DL10" s="65"/>
      <c r="DM10" s="65"/>
      <c r="DN10" s="65"/>
      <c r="DO10" s="67"/>
      <c r="DP10" s="67"/>
      <c r="DQ10" s="67"/>
      <c r="DR10" s="342" t="s">
        <v>26</v>
      </c>
      <c r="DS10" s="342"/>
      <c r="DT10" s="342"/>
      <c r="DU10" s="342"/>
      <c r="DV10" s="342"/>
      <c r="DW10" s="342"/>
      <c r="DX10" s="342"/>
      <c r="DY10" s="342"/>
      <c r="DZ10" s="342"/>
      <c r="EA10" s="342"/>
      <c r="EB10" s="342"/>
      <c r="EC10" s="342"/>
      <c r="ED10" s="342"/>
      <c r="EE10" s="342"/>
      <c r="EF10" s="342"/>
      <c r="EG10" s="342"/>
      <c r="EH10" s="342"/>
      <c r="EI10" s="342"/>
      <c r="EJ10" s="17"/>
    </row>
    <row r="11" spans="1:140" ht="9" customHeight="1" thickBot="1">
      <c r="A11" s="21"/>
      <c r="AE11" s="22"/>
      <c r="AV11" s="22"/>
      <c r="BK11" s="22"/>
      <c r="BL11" s="22"/>
      <c r="BM11" s="22"/>
      <c r="BN11" s="22"/>
      <c r="BP11" s="22"/>
      <c r="CA11" s="22"/>
      <c r="CL11" s="22"/>
      <c r="CU11" s="22"/>
      <c r="CV11" s="22"/>
      <c r="CW11" s="22"/>
      <c r="DJ11" s="66"/>
      <c r="DK11" s="66"/>
      <c r="DL11" s="66"/>
      <c r="DM11" s="66"/>
      <c r="DN11" s="66"/>
      <c r="DO11" s="68"/>
      <c r="DP11" s="68"/>
      <c r="DQ11" s="68"/>
      <c r="DR11" s="68"/>
      <c r="DS11" s="68"/>
      <c r="DT11" s="68"/>
      <c r="DU11" s="68"/>
      <c r="DV11" s="68"/>
      <c r="DW11" s="68"/>
      <c r="DX11" s="68"/>
      <c r="DY11" s="68"/>
      <c r="DZ11" s="68"/>
      <c r="EA11" s="68"/>
      <c r="EB11" s="68"/>
      <c r="EC11" s="68"/>
      <c r="ED11" s="68"/>
      <c r="EE11" s="68"/>
      <c r="EF11" s="95"/>
      <c r="EG11" s="95"/>
      <c r="EH11" s="95"/>
      <c r="EI11" s="95"/>
      <c r="EJ11" s="17"/>
    </row>
    <row r="12" spans="1:140" ht="14.25" customHeight="1" thickTop="1">
      <c r="A12" s="23"/>
      <c r="B12" s="24"/>
      <c r="C12" s="348" t="s">
        <v>27</v>
      </c>
      <c r="D12" s="349"/>
      <c r="E12" s="349"/>
      <c r="F12" s="349"/>
      <c r="G12" s="349"/>
      <c r="H12" s="349"/>
      <c r="I12" s="349"/>
      <c r="J12" s="349"/>
      <c r="K12" s="349"/>
      <c r="L12" s="349"/>
      <c r="M12" s="349"/>
      <c r="N12" s="349"/>
      <c r="O12" s="350"/>
      <c r="P12" s="336" t="s">
        <v>28</v>
      </c>
      <c r="Q12" s="337"/>
      <c r="R12" s="337"/>
      <c r="S12" s="337"/>
      <c r="T12" s="337"/>
      <c r="U12" s="337"/>
      <c r="V12" s="337"/>
      <c r="W12" s="337"/>
      <c r="X12" s="337"/>
      <c r="Y12" s="337"/>
      <c r="Z12" s="337"/>
      <c r="AA12" s="337"/>
      <c r="AB12" s="337"/>
      <c r="AC12" s="337"/>
      <c r="AD12" s="337"/>
      <c r="AE12" s="338"/>
      <c r="AF12" s="348" t="s">
        <v>29</v>
      </c>
      <c r="AG12" s="453"/>
      <c r="AH12" s="453"/>
      <c r="AI12" s="453"/>
      <c r="AJ12" s="453"/>
      <c r="AK12" s="453"/>
      <c r="AL12" s="453"/>
      <c r="AM12" s="453"/>
      <c r="AN12" s="453"/>
      <c r="AO12" s="453"/>
      <c r="AP12" s="453"/>
      <c r="AQ12" s="453"/>
      <c r="AR12" s="453"/>
      <c r="AS12" s="453"/>
      <c r="AT12" s="453"/>
      <c r="AU12" s="453"/>
      <c r="AV12" s="453"/>
      <c r="AW12" s="453"/>
      <c r="AX12" s="453"/>
      <c r="AY12" s="454"/>
      <c r="AZ12" s="336" t="s">
        <v>30</v>
      </c>
      <c r="BA12" s="337"/>
      <c r="BB12" s="338"/>
      <c r="BC12" s="336" t="s">
        <v>31</v>
      </c>
      <c r="BD12" s="337"/>
      <c r="BE12" s="338"/>
      <c r="BF12" s="265" t="s">
        <v>32</v>
      </c>
      <c r="BG12" s="266"/>
      <c r="BH12" s="266"/>
      <c r="BI12" s="446" t="s">
        <v>33</v>
      </c>
      <c r="BJ12" s="447"/>
      <c r="BK12" s="447"/>
      <c r="BL12" s="447"/>
      <c r="BM12" s="447"/>
      <c r="BN12" s="447"/>
      <c r="BO12" s="447"/>
      <c r="BP12" s="447"/>
      <c r="BQ12" s="447"/>
      <c r="BR12" s="447"/>
      <c r="BS12" s="447"/>
      <c r="BT12" s="447"/>
      <c r="BU12" s="447"/>
      <c r="BV12" s="447"/>
      <c r="BW12" s="447"/>
      <c r="BX12" s="447"/>
      <c r="BY12" s="447"/>
      <c r="BZ12" s="447"/>
      <c r="CA12" s="447"/>
      <c r="CB12" s="447"/>
      <c r="CC12" s="447"/>
      <c r="CD12" s="447"/>
      <c r="CE12" s="448"/>
      <c r="CF12" s="314" t="s">
        <v>34</v>
      </c>
      <c r="CG12" s="315"/>
      <c r="CH12" s="315"/>
      <c r="CI12" s="315"/>
      <c r="CJ12" s="315"/>
      <c r="CK12" s="315"/>
      <c r="CL12" s="315"/>
      <c r="CM12" s="315"/>
      <c r="CN12" s="315"/>
      <c r="CO12" s="315"/>
      <c r="CP12" s="316"/>
      <c r="CQ12" s="270" t="s">
        <v>35</v>
      </c>
      <c r="CR12" s="271"/>
      <c r="CS12" s="271"/>
      <c r="CT12" s="272"/>
      <c r="CU12" s="265" t="s">
        <v>36</v>
      </c>
      <c r="CV12" s="266"/>
      <c r="CW12" s="266"/>
      <c r="CX12" s="446" t="s">
        <v>37</v>
      </c>
      <c r="CY12" s="447"/>
      <c r="CZ12" s="447"/>
      <c r="DA12" s="447"/>
      <c r="DB12" s="447"/>
      <c r="DC12" s="447"/>
      <c r="DD12" s="447"/>
      <c r="DE12" s="447"/>
      <c r="DF12" s="447"/>
      <c r="DG12" s="447"/>
      <c r="DH12" s="447"/>
      <c r="DI12" s="447"/>
      <c r="DJ12" s="326"/>
      <c r="DK12" s="326"/>
      <c r="DL12" s="326"/>
      <c r="DM12" s="326"/>
      <c r="DN12" s="326"/>
      <c r="DO12" s="326"/>
      <c r="DP12" s="326"/>
      <c r="DQ12" s="326"/>
      <c r="DR12" s="326"/>
      <c r="DS12" s="326"/>
      <c r="DT12" s="327"/>
      <c r="DU12" s="328" t="s">
        <v>38</v>
      </c>
      <c r="DV12" s="245"/>
      <c r="DW12" s="245"/>
      <c r="DX12" s="245"/>
      <c r="DY12" s="245"/>
      <c r="DZ12" s="245"/>
      <c r="EA12" s="245"/>
      <c r="EB12" s="245"/>
      <c r="EC12" s="245"/>
      <c r="ED12" s="245"/>
      <c r="EE12" s="246"/>
      <c r="EF12" s="270" t="s">
        <v>39</v>
      </c>
      <c r="EG12" s="271"/>
      <c r="EH12" s="271"/>
      <c r="EI12" s="272"/>
    </row>
    <row r="13" spans="1:140" ht="13.7" customHeight="1">
      <c r="A13" s="27"/>
      <c r="B13" s="45"/>
      <c r="C13" s="351"/>
      <c r="D13" s="352"/>
      <c r="E13" s="352"/>
      <c r="F13" s="352"/>
      <c r="G13" s="352"/>
      <c r="H13" s="352"/>
      <c r="I13" s="352"/>
      <c r="J13" s="352"/>
      <c r="K13" s="352"/>
      <c r="L13" s="352"/>
      <c r="M13" s="352"/>
      <c r="N13" s="352"/>
      <c r="O13" s="353"/>
      <c r="P13" s="339"/>
      <c r="Q13" s="340"/>
      <c r="R13" s="340"/>
      <c r="S13" s="340"/>
      <c r="T13" s="340"/>
      <c r="U13" s="340"/>
      <c r="V13" s="340"/>
      <c r="W13" s="340"/>
      <c r="X13" s="340"/>
      <c r="Y13" s="340"/>
      <c r="Z13" s="340"/>
      <c r="AA13" s="340"/>
      <c r="AB13" s="340"/>
      <c r="AC13" s="340"/>
      <c r="AD13" s="340"/>
      <c r="AE13" s="341"/>
      <c r="AF13" s="455"/>
      <c r="AG13" s="456"/>
      <c r="AH13" s="456"/>
      <c r="AI13" s="456"/>
      <c r="AJ13" s="456"/>
      <c r="AK13" s="456"/>
      <c r="AL13" s="456"/>
      <c r="AM13" s="456"/>
      <c r="AN13" s="456"/>
      <c r="AO13" s="456"/>
      <c r="AP13" s="456"/>
      <c r="AQ13" s="456"/>
      <c r="AR13" s="456"/>
      <c r="AS13" s="456"/>
      <c r="AT13" s="456"/>
      <c r="AU13" s="456"/>
      <c r="AV13" s="456"/>
      <c r="AW13" s="456"/>
      <c r="AX13" s="456"/>
      <c r="AY13" s="457"/>
      <c r="AZ13" s="339"/>
      <c r="BA13" s="340"/>
      <c r="BB13" s="341"/>
      <c r="BC13" s="339"/>
      <c r="BD13" s="340"/>
      <c r="BE13" s="341"/>
      <c r="BF13" s="267"/>
      <c r="BG13" s="268"/>
      <c r="BH13" s="269"/>
      <c r="BI13" s="325" t="s">
        <v>40</v>
      </c>
      <c r="BJ13" s="326"/>
      <c r="BK13" s="326"/>
      <c r="BL13" s="326"/>
      <c r="BM13" s="326"/>
      <c r="BN13" s="326"/>
      <c r="BO13" s="326"/>
      <c r="BP13" s="326"/>
      <c r="BQ13" s="326"/>
      <c r="BR13" s="326"/>
      <c r="BS13" s="326"/>
      <c r="BT13" s="326"/>
      <c r="BU13" s="326"/>
      <c r="BV13" s="326"/>
      <c r="BW13" s="327"/>
      <c r="BX13" s="322" t="s">
        <v>41</v>
      </c>
      <c r="BY13" s="323"/>
      <c r="BZ13" s="323"/>
      <c r="CA13" s="323"/>
      <c r="CB13" s="323"/>
      <c r="CC13" s="323"/>
      <c r="CD13" s="323"/>
      <c r="CE13" s="324"/>
      <c r="CF13" s="314" t="s">
        <v>42</v>
      </c>
      <c r="CG13" s="315"/>
      <c r="CH13" s="321"/>
      <c r="CI13" s="314" t="s">
        <v>43</v>
      </c>
      <c r="CJ13" s="315"/>
      <c r="CK13" s="315"/>
      <c r="CL13" s="315"/>
      <c r="CM13" s="315"/>
      <c r="CN13" s="315"/>
      <c r="CO13" s="315"/>
      <c r="CP13" s="316"/>
      <c r="CQ13" s="244" t="s">
        <v>44</v>
      </c>
      <c r="CR13" s="245"/>
      <c r="CS13" s="245"/>
      <c r="CT13" s="246"/>
      <c r="CU13" s="267"/>
      <c r="CV13" s="268"/>
      <c r="CW13" s="269"/>
      <c r="CX13" s="325" t="s">
        <v>40</v>
      </c>
      <c r="CY13" s="326"/>
      <c r="CZ13" s="326"/>
      <c r="DA13" s="326"/>
      <c r="DB13" s="326"/>
      <c r="DC13" s="326"/>
      <c r="DD13" s="326"/>
      <c r="DE13" s="326"/>
      <c r="DF13" s="326"/>
      <c r="DG13" s="326"/>
      <c r="DH13" s="326"/>
      <c r="DI13" s="326"/>
      <c r="DJ13" s="326"/>
      <c r="DK13" s="326"/>
      <c r="DL13" s="327"/>
      <c r="DM13" s="322" t="s">
        <v>41</v>
      </c>
      <c r="DN13" s="323"/>
      <c r="DO13" s="323"/>
      <c r="DP13" s="323"/>
      <c r="DQ13" s="323"/>
      <c r="DR13" s="323"/>
      <c r="DS13" s="323"/>
      <c r="DT13" s="324"/>
      <c r="DU13" s="314" t="s">
        <v>42</v>
      </c>
      <c r="DV13" s="315"/>
      <c r="DW13" s="321"/>
      <c r="DX13" s="314" t="s">
        <v>43</v>
      </c>
      <c r="DY13" s="315"/>
      <c r="DZ13" s="315"/>
      <c r="EA13" s="315"/>
      <c r="EB13" s="315"/>
      <c r="EC13" s="315"/>
      <c r="ED13" s="315"/>
      <c r="EE13" s="316"/>
      <c r="EF13" s="244" t="s">
        <v>44</v>
      </c>
      <c r="EG13" s="245"/>
      <c r="EH13" s="245"/>
      <c r="EI13" s="246"/>
    </row>
    <row r="14" spans="1:140" ht="14.1" customHeight="1">
      <c r="A14" s="247">
        <v>1</v>
      </c>
      <c r="B14" s="253"/>
      <c r="C14" s="273" t="s">
        <v>388</v>
      </c>
      <c r="D14" s="273"/>
      <c r="E14" s="273"/>
      <c r="F14" s="273"/>
      <c r="G14" s="273"/>
      <c r="H14" s="273"/>
      <c r="I14" s="273"/>
      <c r="J14" s="273"/>
      <c r="K14" s="273"/>
      <c r="L14" s="273"/>
      <c r="M14" s="273"/>
      <c r="N14" s="273"/>
      <c r="O14" s="273"/>
      <c r="P14" s="273" t="s">
        <v>423</v>
      </c>
      <c r="Q14" s="273"/>
      <c r="R14" s="273"/>
      <c r="S14" s="273"/>
      <c r="T14" s="273"/>
      <c r="U14" s="273"/>
      <c r="V14" s="273"/>
      <c r="W14" s="273"/>
      <c r="X14" s="273"/>
      <c r="Y14" s="273"/>
      <c r="Z14" s="273"/>
      <c r="AA14" s="273"/>
      <c r="AB14" s="273"/>
      <c r="AC14" s="273"/>
      <c r="AD14" s="273"/>
      <c r="AE14" s="273"/>
      <c r="AF14" s="729" t="s">
        <v>429</v>
      </c>
      <c r="AG14" s="729"/>
      <c r="AH14" s="729"/>
      <c r="AI14" s="729"/>
      <c r="AJ14" s="729"/>
      <c r="AK14" s="729"/>
      <c r="AL14" s="729"/>
      <c r="AM14" s="729"/>
      <c r="AN14" s="729"/>
      <c r="AO14" s="729"/>
      <c r="AP14" s="729"/>
      <c r="AQ14" s="729"/>
      <c r="AR14" s="729"/>
      <c r="AS14" s="729"/>
      <c r="AT14" s="729"/>
      <c r="AU14" s="729"/>
      <c r="AV14" s="729"/>
      <c r="AW14" s="729"/>
      <c r="AX14" s="729"/>
      <c r="AY14" s="729"/>
      <c r="AZ14" s="204" t="s">
        <v>391</v>
      </c>
      <c r="BA14" s="204"/>
      <c r="BB14" s="205"/>
      <c r="BC14" s="276">
        <f>IF(AZ14="","0",VLOOKUP(AZ14,設定!$G$26:$H$28,2,FALSE))</f>
        <v>1</v>
      </c>
      <c r="BD14" s="277"/>
      <c r="BE14" s="278"/>
      <c r="BF14" s="285">
        <v>25</v>
      </c>
      <c r="BG14" s="224"/>
      <c r="BH14" s="225"/>
      <c r="BI14" s="148" t="s">
        <v>45</v>
      </c>
      <c r="BJ14" s="20"/>
      <c r="BK14" s="163" t="s">
        <v>424</v>
      </c>
      <c r="BL14" s="20"/>
      <c r="BM14" s="20"/>
      <c r="BN14" s="20"/>
      <c r="BO14" s="20"/>
      <c r="BP14" s="20"/>
      <c r="BQ14" s="20"/>
      <c r="BR14" s="20"/>
      <c r="BS14" s="20"/>
      <c r="BT14" s="20"/>
      <c r="BU14" s="20"/>
      <c r="BV14" s="20"/>
      <c r="BW14" s="20"/>
      <c r="BX14" s="286"/>
      <c r="BY14" s="287"/>
      <c r="BZ14" s="287"/>
      <c r="CA14" s="287"/>
      <c r="CB14" s="287"/>
      <c r="CC14" s="287"/>
      <c r="CD14" s="287"/>
      <c r="CE14" s="288"/>
      <c r="CF14" s="223"/>
      <c r="CG14" s="224"/>
      <c r="CH14" s="225"/>
      <c r="CI14" s="206"/>
      <c r="CJ14" s="207"/>
      <c r="CK14" s="207"/>
      <c r="CL14" s="207"/>
      <c r="CM14" s="207"/>
      <c r="CN14" s="207"/>
      <c r="CO14" s="207"/>
      <c r="CP14" s="208"/>
      <c r="CQ14" s="232" t="str">
        <f>IF(BF14*CF14*BC14=0,"",BF14*CF14*BC14)</f>
        <v/>
      </c>
      <c r="CR14" s="233"/>
      <c r="CS14" s="233"/>
      <c r="CT14" s="234"/>
      <c r="CU14" s="223">
        <v>25</v>
      </c>
      <c r="CV14" s="224"/>
      <c r="CW14" s="225"/>
      <c r="CX14" s="148" t="s">
        <v>45</v>
      </c>
      <c r="CY14" s="20"/>
      <c r="CZ14" s="163" t="s">
        <v>403</v>
      </c>
      <c r="DA14" s="20"/>
      <c r="DB14" s="20"/>
      <c r="DC14" s="20"/>
      <c r="DD14" s="20"/>
      <c r="DE14" s="20"/>
      <c r="DF14" s="20"/>
      <c r="DG14" s="20"/>
      <c r="DH14" s="20"/>
      <c r="DI14" s="20"/>
      <c r="DJ14" s="20"/>
      <c r="DK14" s="20"/>
      <c r="DL14" s="20"/>
      <c r="DM14" s="206"/>
      <c r="DN14" s="207"/>
      <c r="DO14" s="207"/>
      <c r="DP14" s="207"/>
      <c r="DQ14" s="207"/>
      <c r="DR14" s="207"/>
      <c r="DS14" s="207"/>
      <c r="DT14" s="215"/>
      <c r="DU14" s="223"/>
      <c r="DV14" s="224"/>
      <c r="DW14" s="225"/>
      <c r="DX14" s="206"/>
      <c r="DY14" s="207"/>
      <c r="DZ14" s="207"/>
      <c r="EA14" s="207"/>
      <c r="EB14" s="207"/>
      <c r="EC14" s="207"/>
      <c r="ED14" s="207"/>
      <c r="EE14" s="208"/>
      <c r="EF14" s="232" t="str">
        <f>IF(CU14*DU14*BC14=0,"",CU14*DU14*BC14)</f>
        <v/>
      </c>
      <c r="EG14" s="233"/>
      <c r="EH14" s="233"/>
      <c r="EI14" s="234"/>
    </row>
    <row r="15" spans="1:140" ht="14.1" customHeight="1">
      <c r="A15" s="249"/>
      <c r="B15" s="254"/>
      <c r="C15" s="274"/>
      <c r="D15" s="274"/>
      <c r="E15" s="274"/>
      <c r="F15" s="274"/>
      <c r="G15" s="274"/>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730"/>
      <c r="AG15" s="730"/>
      <c r="AH15" s="730"/>
      <c r="AI15" s="730"/>
      <c r="AJ15" s="730"/>
      <c r="AK15" s="730"/>
      <c r="AL15" s="730"/>
      <c r="AM15" s="730"/>
      <c r="AN15" s="730"/>
      <c r="AO15" s="730"/>
      <c r="AP15" s="730"/>
      <c r="AQ15" s="730"/>
      <c r="AR15" s="730"/>
      <c r="AS15" s="730"/>
      <c r="AT15" s="730"/>
      <c r="AU15" s="730"/>
      <c r="AV15" s="730"/>
      <c r="AW15" s="730"/>
      <c r="AX15" s="730"/>
      <c r="AY15" s="730"/>
      <c r="AZ15" s="204"/>
      <c r="BA15" s="204"/>
      <c r="BB15" s="205"/>
      <c r="BC15" s="279"/>
      <c r="BD15" s="280"/>
      <c r="BE15" s="281"/>
      <c r="BF15" s="227"/>
      <c r="BG15" s="227"/>
      <c r="BH15" s="228"/>
      <c r="BI15" s="149" t="s">
        <v>394</v>
      </c>
      <c r="BJ15" s="150"/>
      <c r="BK15" s="163" t="s">
        <v>425</v>
      </c>
      <c r="BL15" s="20"/>
      <c r="BM15" s="20"/>
      <c r="BN15" s="20"/>
      <c r="BO15" s="20"/>
      <c r="BP15" s="20"/>
      <c r="BQ15" s="20"/>
      <c r="BR15" s="20"/>
      <c r="BS15" s="20"/>
      <c r="BT15" s="20"/>
      <c r="BU15" s="20"/>
      <c r="BV15" s="20"/>
      <c r="BW15" s="20"/>
      <c r="BX15" s="289"/>
      <c r="BY15" s="290"/>
      <c r="BZ15" s="290"/>
      <c r="CA15" s="290"/>
      <c r="CB15" s="290"/>
      <c r="CC15" s="290"/>
      <c r="CD15" s="290"/>
      <c r="CE15" s="291"/>
      <c r="CF15" s="226"/>
      <c r="CG15" s="227"/>
      <c r="CH15" s="228"/>
      <c r="CI15" s="209"/>
      <c r="CJ15" s="210"/>
      <c r="CK15" s="210"/>
      <c r="CL15" s="210"/>
      <c r="CM15" s="210"/>
      <c r="CN15" s="210"/>
      <c r="CO15" s="210"/>
      <c r="CP15" s="211"/>
      <c r="CQ15" s="235"/>
      <c r="CR15" s="236"/>
      <c r="CS15" s="236"/>
      <c r="CT15" s="237"/>
      <c r="CU15" s="226"/>
      <c r="CV15" s="227"/>
      <c r="CW15" s="228"/>
      <c r="CX15" s="149" t="s">
        <v>394</v>
      </c>
      <c r="CY15" s="150"/>
      <c r="CZ15" s="163" t="s">
        <v>402</v>
      </c>
      <c r="DA15" s="20"/>
      <c r="DB15" s="20"/>
      <c r="DC15" s="20"/>
      <c r="DD15" s="20"/>
      <c r="DE15" s="20"/>
      <c r="DF15" s="20"/>
      <c r="DG15" s="20"/>
      <c r="DH15" s="20"/>
      <c r="DI15" s="20"/>
      <c r="DJ15" s="20"/>
      <c r="DK15" s="20"/>
      <c r="DL15" s="20"/>
      <c r="DM15" s="209"/>
      <c r="DN15" s="210"/>
      <c r="DO15" s="210"/>
      <c r="DP15" s="210"/>
      <c r="DQ15" s="210"/>
      <c r="DR15" s="210"/>
      <c r="DS15" s="210"/>
      <c r="DT15" s="216"/>
      <c r="DU15" s="226"/>
      <c r="DV15" s="227"/>
      <c r="DW15" s="228"/>
      <c r="DX15" s="209"/>
      <c r="DY15" s="210"/>
      <c r="DZ15" s="210"/>
      <c r="EA15" s="210"/>
      <c r="EB15" s="210"/>
      <c r="EC15" s="210"/>
      <c r="ED15" s="210"/>
      <c r="EE15" s="211"/>
      <c r="EF15" s="235"/>
      <c r="EG15" s="236"/>
      <c r="EH15" s="236"/>
      <c r="EI15" s="237"/>
    </row>
    <row r="16" spans="1:140" ht="14.1" customHeight="1">
      <c r="A16" s="249"/>
      <c r="B16" s="254"/>
      <c r="C16" s="274"/>
      <c r="D16" s="274"/>
      <c r="E16" s="274"/>
      <c r="F16" s="274"/>
      <c r="G16" s="274"/>
      <c r="H16" s="274"/>
      <c r="I16" s="274"/>
      <c r="J16" s="274"/>
      <c r="K16" s="274"/>
      <c r="L16" s="274"/>
      <c r="M16" s="274"/>
      <c r="N16" s="274"/>
      <c r="O16" s="274"/>
      <c r="P16" s="274"/>
      <c r="Q16" s="274"/>
      <c r="R16" s="274"/>
      <c r="S16" s="274"/>
      <c r="T16" s="274"/>
      <c r="U16" s="274"/>
      <c r="V16" s="274"/>
      <c r="W16" s="274"/>
      <c r="X16" s="274"/>
      <c r="Y16" s="274"/>
      <c r="Z16" s="274"/>
      <c r="AA16" s="274"/>
      <c r="AB16" s="274"/>
      <c r="AC16" s="274"/>
      <c r="AD16" s="274"/>
      <c r="AE16" s="274"/>
      <c r="AF16" s="730"/>
      <c r="AG16" s="730"/>
      <c r="AH16" s="730"/>
      <c r="AI16" s="730"/>
      <c r="AJ16" s="730"/>
      <c r="AK16" s="730"/>
      <c r="AL16" s="730"/>
      <c r="AM16" s="730"/>
      <c r="AN16" s="730"/>
      <c r="AO16" s="730"/>
      <c r="AP16" s="730"/>
      <c r="AQ16" s="730"/>
      <c r="AR16" s="730"/>
      <c r="AS16" s="730"/>
      <c r="AT16" s="730"/>
      <c r="AU16" s="730"/>
      <c r="AV16" s="730"/>
      <c r="AW16" s="730"/>
      <c r="AX16" s="730"/>
      <c r="AY16" s="730"/>
      <c r="AZ16" s="204"/>
      <c r="BA16" s="204"/>
      <c r="BB16" s="205"/>
      <c r="BC16" s="279"/>
      <c r="BD16" s="280"/>
      <c r="BE16" s="281"/>
      <c r="BF16" s="227"/>
      <c r="BG16" s="227"/>
      <c r="BH16" s="228"/>
      <c r="BI16" s="149" t="s">
        <v>46</v>
      </c>
      <c r="BJ16" s="150"/>
      <c r="BK16" s="163" t="s">
        <v>404</v>
      </c>
      <c r="BL16" s="20"/>
      <c r="BM16" s="20"/>
      <c r="BN16" s="20"/>
      <c r="BO16" s="20"/>
      <c r="BP16" s="20"/>
      <c r="BQ16" s="20"/>
      <c r="BR16" s="20"/>
      <c r="BS16" s="20"/>
      <c r="BT16" s="20"/>
      <c r="BU16" s="20"/>
      <c r="BV16" s="20"/>
      <c r="BW16" s="20"/>
      <c r="BX16" s="289"/>
      <c r="BY16" s="290"/>
      <c r="BZ16" s="290"/>
      <c r="CA16" s="290"/>
      <c r="CB16" s="290"/>
      <c r="CC16" s="290"/>
      <c r="CD16" s="290"/>
      <c r="CE16" s="291"/>
      <c r="CF16" s="226"/>
      <c r="CG16" s="227"/>
      <c r="CH16" s="228"/>
      <c r="CI16" s="209"/>
      <c r="CJ16" s="210"/>
      <c r="CK16" s="210"/>
      <c r="CL16" s="210"/>
      <c r="CM16" s="210"/>
      <c r="CN16" s="210"/>
      <c r="CO16" s="210"/>
      <c r="CP16" s="211"/>
      <c r="CQ16" s="235"/>
      <c r="CR16" s="236"/>
      <c r="CS16" s="236"/>
      <c r="CT16" s="237"/>
      <c r="CU16" s="226"/>
      <c r="CV16" s="227"/>
      <c r="CW16" s="228"/>
      <c r="CX16" s="149" t="s">
        <v>46</v>
      </c>
      <c r="CY16" s="150"/>
      <c r="CZ16" s="163" t="s">
        <v>401</v>
      </c>
      <c r="DA16" s="20"/>
      <c r="DB16" s="20"/>
      <c r="DC16" s="20"/>
      <c r="DD16" s="20"/>
      <c r="DE16" s="20"/>
      <c r="DF16" s="20"/>
      <c r="DG16" s="20"/>
      <c r="DH16" s="20"/>
      <c r="DI16" s="20"/>
      <c r="DJ16" s="20"/>
      <c r="DK16" s="20"/>
      <c r="DL16" s="20"/>
      <c r="DM16" s="209"/>
      <c r="DN16" s="210"/>
      <c r="DO16" s="210"/>
      <c r="DP16" s="210"/>
      <c r="DQ16" s="210"/>
      <c r="DR16" s="210"/>
      <c r="DS16" s="210"/>
      <c r="DT16" s="216"/>
      <c r="DU16" s="226"/>
      <c r="DV16" s="227"/>
      <c r="DW16" s="228"/>
      <c r="DX16" s="209"/>
      <c r="DY16" s="210"/>
      <c r="DZ16" s="210"/>
      <c r="EA16" s="210"/>
      <c r="EB16" s="210"/>
      <c r="EC16" s="210"/>
      <c r="ED16" s="210"/>
      <c r="EE16" s="211"/>
      <c r="EF16" s="235"/>
      <c r="EG16" s="236"/>
      <c r="EH16" s="236"/>
      <c r="EI16" s="237"/>
    </row>
    <row r="17" spans="1:139" ht="14.1" customHeight="1">
      <c r="A17" s="249"/>
      <c r="B17" s="254"/>
      <c r="C17" s="274"/>
      <c r="D17" s="274"/>
      <c r="E17" s="274"/>
      <c r="F17" s="274"/>
      <c r="G17" s="274"/>
      <c r="H17" s="274"/>
      <c r="I17" s="274"/>
      <c r="J17" s="274"/>
      <c r="K17" s="274"/>
      <c r="L17" s="274"/>
      <c r="M17" s="274"/>
      <c r="N17" s="274"/>
      <c r="O17" s="274"/>
      <c r="P17" s="274"/>
      <c r="Q17" s="274"/>
      <c r="R17" s="274"/>
      <c r="S17" s="274"/>
      <c r="T17" s="274"/>
      <c r="U17" s="274"/>
      <c r="V17" s="274"/>
      <c r="W17" s="274"/>
      <c r="X17" s="274"/>
      <c r="Y17" s="274"/>
      <c r="Z17" s="274"/>
      <c r="AA17" s="274"/>
      <c r="AB17" s="274"/>
      <c r="AC17" s="274"/>
      <c r="AD17" s="274"/>
      <c r="AE17" s="274"/>
      <c r="AF17" s="730"/>
      <c r="AG17" s="730"/>
      <c r="AH17" s="730"/>
      <c r="AI17" s="730"/>
      <c r="AJ17" s="730"/>
      <c r="AK17" s="730"/>
      <c r="AL17" s="730"/>
      <c r="AM17" s="730"/>
      <c r="AN17" s="730"/>
      <c r="AO17" s="730"/>
      <c r="AP17" s="730"/>
      <c r="AQ17" s="730"/>
      <c r="AR17" s="730"/>
      <c r="AS17" s="730"/>
      <c r="AT17" s="730"/>
      <c r="AU17" s="730"/>
      <c r="AV17" s="730"/>
      <c r="AW17" s="730"/>
      <c r="AX17" s="730"/>
      <c r="AY17" s="730"/>
      <c r="AZ17" s="204"/>
      <c r="BA17" s="204"/>
      <c r="BB17" s="205"/>
      <c r="BC17" s="279"/>
      <c r="BD17" s="280"/>
      <c r="BE17" s="281"/>
      <c r="BF17" s="227"/>
      <c r="BG17" s="227"/>
      <c r="BH17" s="228"/>
      <c r="BI17" s="149" t="s">
        <v>393</v>
      </c>
      <c r="BJ17" s="150"/>
      <c r="BK17" s="163" t="s">
        <v>400</v>
      </c>
      <c r="BL17" s="20"/>
      <c r="BM17" s="20"/>
      <c r="BN17" s="20"/>
      <c r="BO17" s="20"/>
      <c r="BP17" s="20"/>
      <c r="BQ17" s="20"/>
      <c r="BR17" s="20"/>
      <c r="BS17" s="20"/>
      <c r="BT17" s="20"/>
      <c r="BU17" s="20"/>
      <c r="BV17" s="20"/>
      <c r="BW17" s="20"/>
      <c r="BX17" s="289"/>
      <c r="BY17" s="290"/>
      <c r="BZ17" s="290"/>
      <c r="CA17" s="290"/>
      <c r="CB17" s="290"/>
      <c r="CC17" s="290"/>
      <c r="CD17" s="290"/>
      <c r="CE17" s="291"/>
      <c r="CF17" s="226"/>
      <c r="CG17" s="227"/>
      <c r="CH17" s="228"/>
      <c r="CI17" s="209"/>
      <c r="CJ17" s="210"/>
      <c r="CK17" s="210"/>
      <c r="CL17" s="210"/>
      <c r="CM17" s="210"/>
      <c r="CN17" s="210"/>
      <c r="CO17" s="210"/>
      <c r="CP17" s="211"/>
      <c r="CQ17" s="235"/>
      <c r="CR17" s="236"/>
      <c r="CS17" s="236"/>
      <c r="CT17" s="237"/>
      <c r="CU17" s="226"/>
      <c r="CV17" s="227"/>
      <c r="CW17" s="228"/>
      <c r="CX17" s="149" t="s">
        <v>393</v>
      </c>
      <c r="CY17" s="150"/>
      <c r="CZ17" s="163" t="s">
        <v>426</v>
      </c>
      <c r="DA17" s="20"/>
      <c r="DB17" s="20"/>
      <c r="DC17" s="20"/>
      <c r="DD17" s="20"/>
      <c r="DE17" s="20"/>
      <c r="DF17" s="20"/>
      <c r="DG17" s="20"/>
      <c r="DH17" s="20"/>
      <c r="DI17" s="20"/>
      <c r="DJ17" s="20"/>
      <c r="DK17" s="20"/>
      <c r="DL17" s="20"/>
      <c r="DM17" s="209"/>
      <c r="DN17" s="210"/>
      <c r="DO17" s="210"/>
      <c r="DP17" s="210"/>
      <c r="DQ17" s="210"/>
      <c r="DR17" s="210"/>
      <c r="DS17" s="210"/>
      <c r="DT17" s="216"/>
      <c r="DU17" s="226"/>
      <c r="DV17" s="227"/>
      <c r="DW17" s="228"/>
      <c r="DX17" s="209"/>
      <c r="DY17" s="210"/>
      <c r="DZ17" s="210"/>
      <c r="EA17" s="210"/>
      <c r="EB17" s="210"/>
      <c r="EC17" s="210"/>
      <c r="ED17" s="210"/>
      <c r="EE17" s="211"/>
      <c r="EF17" s="235"/>
      <c r="EG17" s="236"/>
      <c r="EH17" s="236"/>
      <c r="EI17" s="237"/>
    </row>
    <row r="18" spans="1:139" ht="14.1" customHeight="1">
      <c r="A18" s="249"/>
      <c r="B18" s="254"/>
      <c r="C18" s="274"/>
      <c r="D18" s="274"/>
      <c r="E18" s="274"/>
      <c r="F18" s="274"/>
      <c r="G18" s="274"/>
      <c r="H18" s="274"/>
      <c r="I18" s="274"/>
      <c r="J18" s="274"/>
      <c r="K18" s="274"/>
      <c r="L18" s="274"/>
      <c r="M18" s="274"/>
      <c r="N18" s="274"/>
      <c r="O18" s="274"/>
      <c r="P18" s="274"/>
      <c r="Q18" s="274"/>
      <c r="R18" s="274"/>
      <c r="S18" s="274"/>
      <c r="T18" s="274"/>
      <c r="U18" s="274"/>
      <c r="V18" s="274"/>
      <c r="W18" s="274"/>
      <c r="X18" s="274"/>
      <c r="Y18" s="274"/>
      <c r="Z18" s="274"/>
      <c r="AA18" s="274"/>
      <c r="AB18" s="274"/>
      <c r="AC18" s="274"/>
      <c r="AD18" s="274"/>
      <c r="AE18" s="274"/>
      <c r="AF18" s="730"/>
      <c r="AG18" s="730"/>
      <c r="AH18" s="730"/>
      <c r="AI18" s="730"/>
      <c r="AJ18" s="730"/>
      <c r="AK18" s="730"/>
      <c r="AL18" s="730"/>
      <c r="AM18" s="730"/>
      <c r="AN18" s="730"/>
      <c r="AO18" s="730"/>
      <c r="AP18" s="730"/>
      <c r="AQ18" s="730"/>
      <c r="AR18" s="730"/>
      <c r="AS18" s="730"/>
      <c r="AT18" s="730"/>
      <c r="AU18" s="730"/>
      <c r="AV18" s="730"/>
      <c r="AW18" s="730"/>
      <c r="AX18" s="730"/>
      <c r="AY18" s="730"/>
      <c r="AZ18" s="204"/>
      <c r="BA18" s="204"/>
      <c r="BB18" s="205"/>
      <c r="BC18" s="279"/>
      <c r="BD18" s="280"/>
      <c r="BE18" s="281"/>
      <c r="BF18" s="227"/>
      <c r="BG18" s="227"/>
      <c r="BH18" s="228"/>
      <c r="BI18" s="149" t="s">
        <v>47</v>
      </c>
      <c r="BJ18" s="150"/>
      <c r="BK18" s="163" t="s">
        <v>417</v>
      </c>
      <c r="BL18" s="20"/>
      <c r="BM18" s="20"/>
      <c r="BN18" s="20"/>
      <c r="BO18" s="20"/>
      <c r="BP18" s="20"/>
      <c r="BQ18" s="20"/>
      <c r="BR18" s="20"/>
      <c r="BS18" s="20"/>
      <c r="BT18" s="20"/>
      <c r="BU18" s="20"/>
      <c r="BV18" s="20"/>
      <c r="BW18" s="20"/>
      <c r="BX18" s="289"/>
      <c r="BY18" s="290"/>
      <c r="BZ18" s="290"/>
      <c r="CA18" s="290"/>
      <c r="CB18" s="290"/>
      <c r="CC18" s="290"/>
      <c r="CD18" s="290"/>
      <c r="CE18" s="291"/>
      <c r="CF18" s="226"/>
      <c r="CG18" s="227"/>
      <c r="CH18" s="228"/>
      <c r="CI18" s="209"/>
      <c r="CJ18" s="210"/>
      <c r="CK18" s="210"/>
      <c r="CL18" s="210"/>
      <c r="CM18" s="210"/>
      <c r="CN18" s="210"/>
      <c r="CO18" s="210"/>
      <c r="CP18" s="211"/>
      <c r="CQ18" s="235"/>
      <c r="CR18" s="236"/>
      <c r="CS18" s="236"/>
      <c r="CT18" s="237"/>
      <c r="CU18" s="226"/>
      <c r="CV18" s="227"/>
      <c r="CW18" s="228"/>
      <c r="CX18" s="149" t="s">
        <v>47</v>
      </c>
      <c r="CY18" s="150"/>
      <c r="CZ18" s="163" t="s">
        <v>404</v>
      </c>
      <c r="DA18" s="20"/>
      <c r="DB18" s="20"/>
      <c r="DC18" s="20"/>
      <c r="DD18" s="20"/>
      <c r="DE18" s="20"/>
      <c r="DF18" s="20"/>
      <c r="DG18" s="20"/>
      <c r="DH18" s="20"/>
      <c r="DI18" s="20"/>
      <c r="DJ18" s="20"/>
      <c r="DK18" s="20"/>
      <c r="DL18" s="20"/>
      <c r="DM18" s="209"/>
      <c r="DN18" s="210"/>
      <c r="DO18" s="210"/>
      <c r="DP18" s="210"/>
      <c r="DQ18" s="210"/>
      <c r="DR18" s="210"/>
      <c r="DS18" s="210"/>
      <c r="DT18" s="216"/>
      <c r="DU18" s="226"/>
      <c r="DV18" s="227"/>
      <c r="DW18" s="228"/>
      <c r="DX18" s="209"/>
      <c r="DY18" s="210"/>
      <c r="DZ18" s="210"/>
      <c r="EA18" s="210"/>
      <c r="EB18" s="210"/>
      <c r="EC18" s="210"/>
      <c r="ED18" s="210"/>
      <c r="EE18" s="211"/>
      <c r="EF18" s="235"/>
      <c r="EG18" s="236"/>
      <c r="EH18" s="236"/>
      <c r="EI18" s="237"/>
    </row>
    <row r="19" spans="1:139" ht="14.1" customHeight="1">
      <c r="A19" s="249"/>
      <c r="B19" s="254"/>
      <c r="C19" s="274"/>
      <c r="D19" s="274"/>
      <c r="E19" s="274"/>
      <c r="F19" s="274"/>
      <c r="G19" s="274"/>
      <c r="H19" s="274"/>
      <c r="I19" s="274"/>
      <c r="J19" s="274"/>
      <c r="K19" s="274"/>
      <c r="L19" s="274"/>
      <c r="M19" s="274"/>
      <c r="N19" s="274"/>
      <c r="O19" s="274"/>
      <c r="P19" s="274"/>
      <c r="Q19" s="274"/>
      <c r="R19" s="274"/>
      <c r="S19" s="274"/>
      <c r="T19" s="274"/>
      <c r="U19" s="274"/>
      <c r="V19" s="274"/>
      <c r="W19" s="274"/>
      <c r="X19" s="274"/>
      <c r="Y19" s="274"/>
      <c r="Z19" s="274"/>
      <c r="AA19" s="274"/>
      <c r="AB19" s="274"/>
      <c r="AC19" s="274"/>
      <c r="AD19" s="274"/>
      <c r="AE19" s="274"/>
      <c r="AF19" s="730"/>
      <c r="AG19" s="730"/>
      <c r="AH19" s="730"/>
      <c r="AI19" s="730"/>
      <c r="AJ19" s="730"/>
      <c r="AK19" s="730"/>
      <c r="AL19" s="730"/>
      <c r="AM19" s="730"/>
      <c r="AN19" s="730"/>
      <c r="AO19" s="730"/>
      <c r="AP19" s="730"/>
      <c r="AQ19" s="730"/>
      <c r="AR19" s="730"/>
      <c r="AS19" s="730"/>
      <c r="AT19" s="730"/>
      <c r="AU19" s="730"/>
      <c r="AV19" s="730"/>
      <c r="AW19" s="730"/>
      <c r="AX19" s="730"/>
      <c r="AY19" s="730"/>
      <c r="AZ19" s="204"/>
      <c r="BA19" s="204"/>
      <c r="BB19" s="205"/>
      <c r="BC19" s="279"/>
      <c r="BD19" s="280"/>
      <c r="BE19" s="281"/>
      <c r="BF19" s="227"/>
      <c r="BG19" s="227"/>
      <c r="BH19" s="228"/>
      <c r="BI19" s="151"/>
      <c r="BJ19" s="150"/>
      <c r="BK19" s="20"/>
      <c r="BL19" s="20"/>
      <c r="BM19" s="20"/>
      <c r="BN19" s="20"/>
      <c r="BO19" s="20"/>
      <c r="BP19" s="20"/>
      <c r="BQ19" s="20"/>
      <c r="BR19" s="20"/>
      <c r="BS19" s="20"/>
      <c r="BT19" s="20"/>
      <c r="BU19" s="20"/>
      <c r="BV19" s="20"/>
      <c r="BW19" s="20"/>
      <c r="BX19" s="289"/>
      <c r="BY19" s="290"/>
      <c r="BZ19" s="290"/>
      <c r="CA19" s="290"/>
      <c r="CB19" s="290"/>
      <c r="CC19" s="290"/>
      <c r="CD19" s="290"/>
      <c r="CE19" s="291"/>
      <c r="CF19" s="226"/>
      <c r="CG19" s="227"/>
      <c r="CH19" s="228"/>
      <c r="CI19" s="209"/>
      <c r="CJ19" s="210"/>
      <c r="CK19" s="210"/>
      <c r="CL19" s="210"/>
      <c r="CM19" s="210"/>
      <c r="CN19" s="210"/>
      <c r="CO19" s="210"/>
      <c r="CP19" s="211"/>
      <c r="CQ19" s="235"/>
      <c r="CR19" s="236"/>
      <c r="CS19" s="236"/>
      <c r="CT19" s="237"/>
      <c r="CU19" s="226"/>
      <c r="CV19" s="227"/>
      <c r="CW19" s="228"/>
      <c r="CX19" s="151"/>
      <c r="CY19" s="150"/>
      <c r="CZ19" s="20"/>
      <c r="DA19" s="20"/>
      <c r="DB19" s="20"/>
      <c r="DC19" s="20"/>
      <c r="DD19" s="20"/>
      <c r="DE19" s="20"/>
      <c r="DF19" s="20"/>
      <c r="DG19" s="20"/>
      <c r="DH19" s="20"/>
      <c r="DI19" s="20"/>
      <c r="DJ19" s="20"/>
      <c r="DK19" s="20"/>
      <c r="DL19" s="20"/>
      <c r="DM19" s="209"/>
      <c r="DN19" s="210"/>
      <c r="DO19" s="210"/>
      <c r="DP19" s="210"/>
      <c r="DQ19" s="210"/>
      <c r="DR19" s="210"/>
      <c r="DS19" s="210"/>
      <c r="DT19" s="216"/>
      <c r="DU19" s="226"/>
      <c r="DV19" s="227"/>
      <c r="DW19" s="228"/>
      <c r="DX19" s="209"/>
      <c r="DY19" s="210"/>
      <c r="DZ19" s="210"/>
      <c r="EA19" s="210"/>
      <c r="EB19" s="210"/>
      <c r="EC19" s="210"/>
      <c r="ED19" s="210"/>
      <c r="EE19" s="211"/>
      <c r="EF19" s="235"/>
      <c r="EG19" s="236"/>
      <c r="EH19" s="236"/>
      <c r="EI19" s="237"/>
    </row>
    <row r="20" spans="1:139" ht="14.1" customHeight="1">
      <c r="A20" s="249"/>
      <c r="B20" s="254"/>
      <c r="C20" s="275"/>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731"/>
      <c r="AG20" s="731"/>
      <c r="AH20" s="731"/>
      <c r="AI20" s="731"/>
      <c r="AJ20" s="731"/>
      <c r="AK20" s="731"/>
      <c r="AL20" s="731"/>
      <c r="AM20" s="731"/>
      <c r="AN20" s="731"/>
      <c r="AO20" s="731"/>
      <c r="AP20" s="731"/>
      <c r="AQ20" s="731"/>
      <c r="AR20" s="731"/>
      <c r="AS20" s="731"/>
      <c r="AT20" s="731"/>
      <c r="AU20" s="731"/>
      <c r="AV20" s="731"/>
      <c r="AW20" s="731"/>
      <c r="AX20" s="731"/>
      <c r="AY20" s="731"/>
      <c r="AZ20" s="204"/>
      <c r="BA20" s="204"/>
      <c r="BB20" s="205"/>
      <c r="BC20" s="282"/>
      <c r="BD20" s="283"/>
      <c r="BE20" s="284"/>
      <c r="BF20" s="230"/>
      <c r="BG20" s="230"/>
      <c r="BH20" s="231"/>
      <c r="BI20" s="218"/>
      <c r="BJ20" s="219"/>
      <c r="BK20" s="152"/>
      <c r="BL20" s="152"/>
      <c r="BM20" s="152"/>
      <c r="BN20" s="152"/>
      <c r="BO20" s="152"/>
      <c r="BP20" s="152"/>
      <c r="BQ20" s="152"/>
      <c r="BR20" s="152"/>
      <c r="BS20" s="152"/>
      <c r="BT20" s="152"/>
      <c r="BU20" s="152"/>
      <c r="BV20" s="152"/>
      <c r="BW20" s="153"/>
      <c r="BX20" s="292"/>
      <c r="BY20" s="293"/>
      <c r="BZ20" s="293"/>
      <c r="CA20" s="293"/>
      <c r="CB20" s="293"/>
      <c r="CC20" s="293"/>
      <c r="CD20" s="293"/>
      <c r="CE20" s="294"/>
      <c r="CF20" s="229"/>
      <c r="CG20" s="230"/>
      <c r="CH20" s="231"/>
      <c r="CI20" s="212"/>
      <c r="CJ20" s="213"/>
      <c r="CK20" s="213"/>
      <c r="CL20" s="213"/>
      <c r="CM20" s="213"/>
      <c r="CN20" s="213"/>
      <c r="CO20" s="213"/>
      <c r="CP20" s="214"/>
      <c r="CQ20" s="238"/>
      <c r="CR20" s="239"/>
      <c r="CS20" s="239"/>
      <c r="CT20" s="240"/>
      <c r="CU20" s="229"/>
      <c r="CV20" s="230"/>
      <c r="CW20" s="231"/>
      <c r="CX20" s="218"/>
      <c r="CY20" s="219"/>
      <c r="CZ20" s="152"/>
      <c r="DA20" s="152"/>
      <c r="DB20" s="152"/>
      <c r="DC20" s="152"/>
      <c r="DD20" s="152"/>
      <c r="DE20" s="152"/>
      <c r="DF20" s="152"/>
      <c r="DG20" s="152"/>
      <c r="DH20" s="152"/>
      <c r="DI20" s="152"/>
      <c r="DJ20" s="152"/>
      <c r="DK20" s="152"/>
      <c r="DL20" s="153"/>
      <c r="DM20" s="212"/>
      <c r="DN20" s="213"/>
      <c r="DO20" s="213"/>
      <c r="DP20" s="213"/>
      <c r="DQ20" s="213"/>
      <c r="DR20" s="213"/>
      <c r="DS20" s="213"/>
      <c r="DT20" s="217"/>
      <c r="DU20" s="229"/>
      <c r="DV20" s="230"/>
      <c r="DW20" s="231"/>
      <c r="DX20" s="212"/>
      <c r="DY20" s="213"/>
      <c r="DZ20" s="213"/>
      <c r="EA20" s="213"/>
      <c r="EB20" s="213"/>
      <c r="EC20" s="213"/>
      <c r="ED20" s="213"/>
      <c r="EE20" s="214"/>
      <c r="EF20" s="238"/>
      <c r="EG20" s="239"/>
      <c r="EH20" s="239"/>
      <c r="EI20" s="240"/>
    </row>
    <row r="21" spans="1:139" ht="14.1" customHeight="1">
      <c r="A21" s="247">
        <v>2</v>
      </c>
      <c r="B21" s="253"/>
      <c r="C21" s="259" t="s">
        <v>389</v>
      </c>
      <c r="D21" s="260"/>
      <c r="E21" s="260"/>
      <c r="F21" s="260"/>
      <c r="G21" s="260"/>
      <c r="H21" s="260"/>
      <c r="I21" s="260"/>
      <c r="J21" s="260"/>
      <c r="K21" s="260"/>
      <c r="L21" s="260"/>
      <c r="M21" s="260"/>
      <c r="N21" s="260"/>
      <c r="O21" s="261"/>
      <c r="P21" s="259" t="s">
        <v>427</v>
      </c>
      <c r="Q21" s="260"/>
      <c r="R21" s="260"/>
      <c r="S21" s="260"/>
      <c r="T21" s="260"/>
      <c r="U21" s="260"/>
      <c r="V21" s="260"/>
      <c r="W21" s="260"/>
      <c r="X21" s="260"/>
      <c r="Y21" s="260"/>
      <c r="Z21" s="260"/>
      <c r="AA21" s="260"/>
      <c r="AB21" s="260"/>
      <c r="AC21" s="260"/>
      <c r="AD21" s="260"/>
      <c r="AE21" s="261"/>
      <c r="AF21" s="732" t="s">
        <v>428</v>
      </c>
      <c r="AG21" s="733"/>
      <c r="AH21" s="733"/>
      <c r="AI21" s="733"/>
      <c r="AJ21" s="733"/>
      <c r="AK21" s="733"/>
      <c r="AL21" s="733"/>
      <c r="AM21" s="733"/>
      <c r="AN21" s="733"/>
      <c r="AO21" s="733"/>
      <c r="AP21" s="733"/>
      <c r="AQ21" s="733"/>
      <c r="AR21" s="733"/>
      <c r="AS21" s="733"/>
      <c r="AT21" s="733"/>
      <c r="AU21" s="733"/>
      <c r="AV21" s="733"/>
      <c r="AW21" s="733"/>
      <c r="AX21" s="733"/>
      <c r="AY21" s="734"/>
      <c r="AZ21" s="204" t="s">
        <v>391</v>
      </c>
      <c r="BA21" s="204"/>
      <c r="BB21" s="205"/>
      <c r="BC21" s="276">
        <f>IF(AZ21="","0",VLOOKUP(AZ21,設定!$G$26:$H$28,2,FALSE))</f>
        <v>1</v>
      </c>
      <c r="BD21" s="277"/>
      <c r="BE21" s="278"/>
      <c r="BF21" s="224">
        <v>25</v>
      </c>
      <c r="BG21" s="224"/>
      <c r="BH21" s="225"/>
      <c r="BI21" s="148" t="s">
        <v>45</v>
      </c>
      <c r="BJ21" s="20"/>
      <c r="BK21" s="163" t="s">
        <v>405</v>
      </c>
      <c r="BL21" s="20"/>
      <c r="BM21" s="20"/>
      <c r="BN21" s="20"/>
      <c r="BO21" s="20"/>
      <c r="BP21" s="20"/>
      <c r="BQ21" s="20"/>
      <c r="BR21" s="20"/>
      <c r="BS21" s="20"/>
      <c r="BT21" s="20"/>
      <c r="BU21" s="20"/>
      <c r="BV21" s="20"/>
      <c r="BW21" s="20"/>
      <c r="BX21" s="206"/>
      <c r="BY21" s="207"/>
      <c r="BZ21" s="207"/>
      <c r="CA21" s="207"/>
      <c r="CB21" s="207"/>
      <c r="CC21" s="207"/>
      <c r="CD21" s="207"/>
      <c r="CE21" s="215"/>
      <c r="CF21" s="223"/>
      <c r="CG21" s="224"/>
      <c r="CH21" s="225"/>
      <c r="CI21" s="206"/>
      <c r="CJ21" s="207"/>
      <c r="CK21" s="207"/>
      <c r="CL21" s="207"/>
      <c r="CM21" s="207"/>
      <c r="CN21" s="207"/>
      <c r="CO21" s="207"/>
      <c r="CP21" s="208"/>
      <c r="CQ21" s="232" t="str">
        <f>IF(BF21*CF21*BC21=0,"",BF21*CF21*BC21)</f>
        <v/>
      </c>
      <c r="CR21" s="233"/>
      <c r="CS21" s="233"/>
      <c r="CT21" s="234"/>
      <c r="CU21" s="223">
        <v>25</v>
      </c>
      <c r="CV21" s="224"/>
      <c r="CW21" s="225"/>
      <c r="CX21" s="148" t="s">
        <v>45</v>
      </c>
      <c r="CY21" s="20"/>
      <c r="CZ21" s="163" t="s">
        <v>406</v>
      </c>
      <c r="DA21" s="20"/>
      <c r="DB21" s="20"/>
      <c r="DC21" s="20"/>
      <c r="DD21" s="20"/>
      <c r="DE21" s="20"/>
      <c r="DF21" s="20"/>
      <c r="DG21" s="20"/>
      <c r="DH21" s="20"/>
      <c r="DI21" s="20"/>
      <c r="DJ21" s="20"/>
      <c r="DK21" s="20"/>
      <c r="DL21" s="20"/>
      <c r="DM21" s="206"/>
      <c r="DN21" s="207"/>
      <c r="DO21" s="207"/>
      <c r="DP21" s="207"/>
      <c r="DQ21" s="207"/>
      <c r="DR21" s="207"/>
      <c r="DS21" s="207"/>
      <c r="DT21" s="215"/>
      <c r="DU21" s="223"/>
      <c r="DV21" s="224"/>
      <c r="DW21" s="225"/>
      <c r="DX21" s="206"/>
      <c r="DY21" s="207"/>
      <c r="DZ21" s="207"/>
      <c r="EA21" s="207"/>
      <c r="EB21" s="207"/>
      <c r="EC21" s="207"/>
      <c r="ED21" s="207"/>
      <c r="EE21" s="208"/>
      <c r="EF21" s="232" t="str">
        <f>IF(CU21*DU21*BC21=0,"",CU21*DU21*BC21)</f>
        <v/>
      </c>
      <c r="EG21" s="233"/>
      <c r="EH21" s="233"/>
      <c r="EI21" s="234"/>
    </row>
    <row r="22" spans="1:139" ht="14.1" customHeight="1">
      <c r="A22" s="249"/>
      <c r="B22" s="254"/>
      <c r="C22" s="259"/>
      <c r="D22" s="260"/>
      <c r="E22" s="260"/>
      <c r="F22" s="260"/>
      <c r="G22" s="260"/>
      <c r="H22" s="260"/>
      <c r="I22" s="260"/>
      <c r="J22" s="260"/>
      <c r="K22" s="260"/>
      <c r="L22" s="260"/>
      <c r="M22" s="260"/>
      <c r="N22" s="260"/>
      <c r="O22" s="261"/>
      <c r="P22" s="259"/>
      <c r="Q22" s="260"/>
      <c r="R22" s="260"/>
      <c r="S22" s="260"/>
      <c r="T22" s="260"/>
      <c r="U22" s="260"/>
      <c r="V22" s="260"/>
      <c r="W22" s="260"/>
      <c r="X22" s="260"/>
      <c r="Y22" s="260"/>
      <c r="Z22" s="260"/>
      <c r="AA22" s="260"/>
      <c r="AB22" s="260"/>
      <c r="AC22" s="260"/>
      <c r="AD22" s="260"/>
      <c r="AE22" s="261"/>
      <c r="AF22" s="732"/>
      <c r="AG22" s="733"/>
      <c r="AH22" s="733"/>
      <c r="AI22" s="733"/>
      <c r="AJ22" s="733"/>
      <c r="AK22" s="733"/>
      <c r="AL22" s="733"/>
      <c r="AM22" s="733"/>
      <c r="AN22" s="733"/>
      <c r="AO22" s="733"/>
      <c r="AP22" s="733"/>
      <c r="AQ22" s="733"/>
      <c r="AR22" s="733"/>
      <c r="AS22" s="733"/>
      <c r="AT22" s="733"/>
      <c r="AU22" s="733"/>
      <c r="AV22" s="733"/>
      <c r="AW22" s="733"/>
      <c r="AX22" s="733"/>
      <c r="AY22" s="734"/>
      <c r="AZ22" s="204"/>
      <c r="BA22" s="204"/>
      <c r="BB22" s="205"/>
      <c r="BC22" s="279"/>
      <c r="BD22" s="280"/>
      <c r="BE22" s="281"/>
      <c r="BF22" s="227"/>
      <c r="BG22" s="227"/>
      <c r="BH22" s="228"/>
      <c r="BI22" s="149" t="s">
        <v>394</v>
      </c>
      <c r="BJ22" s="150"/>
      <c r="BK22" s="163"/>
      <c r="BL22" s="20"/>
      <c r="BM22" s="20"/>
      <c r="BN22" s="20"/>
      <c r="BO22" s="20"/>
      <c r="BP22" s="20"/>
      <c r="BQ22" s="20"/>
      <c r="BR22" s="20"/>
      <c r="BS22" s="20"/>
      <c r="BT22" s="20"/>
      <c r="BU22" s="20"/>
      <c r="BV22" s="20"/>
      <c r="BW22" s="20"/>
      <c r="BX22" s="209"/>
      <c r="BY22" s="210"/>
      <c r="BZ22" s="210"/>
      <c r="CA22" s="210"/>
      <c r="CB22" s="210"/>
      <c r="CC22" s="210"/>
      <c r="CD22" s="210"/>
      <c r="CE22" s="216"/>
      <c r="CF22" s="226"/>
      <c r="CG22" s="227"/>
      <c r="CH22" s="228"/>
      <c r="CI22" s="209"/>
      <c r="CJ22" s="210"/>
      <c r="CK22" s="210"/>
      <c r="CL22" s="210"/>
      <c r="CM22" s="210"/>
      <c r="CN22" s="210"/>
      <c r="CO22" s="210"/>
      <c r="CP22" s="211"/>
      <c r="CQ22" s="235"/>
      <c r="CR22" s="236"/>
      <c r="CS22" s="236"/>
      <c r="CT22" s="237"/>
      <c r="CU22" s="226"/>
      <c r="CV22" s="227"/>
      <c r="CW22" s="228"/>
      <c r="CX22" s="149" t="s">
        <v>394</v>
      </c>
      <c r="CY22" s="150"/>
      <c r="CZ22" s="20"/>
      <c r="DA22" s="20"/>
      <c r="DB22" s="20"/>
      <c r="DC22" s="20"/>
      <c r="DD22" s="20"/>
      <c r="DE22" s="20"/>
      <c r="DF22" s="20"/>
      <c r="DG22" s="20"/>
      <c r="DH22" s="20"/>
      <c r="DI22" s="20"/>
      <c r="DJ22" s="20"/>
      <c r="DK22" s="20"/>
      <c r="DL22" s="20"/>
      <c r="DM22" s="209"/>
      <c r="DN22" s="210"/>
      <c r="DO22" s="210"/>
      <c r="DP22" s="210"/>
      <c r="DQ22" s="210"/>
      <c r="DR22" s="210"/>
      <c r="DS22" s="210"/>
      <c r="DT22" s="216"/>
      <c r="DU22" s="226"/>
      <c r="DV22" s="227"/>
      <c r="DW22" s="228"/>
      <c r="DX22" s="209"/>
      <c r="DY22" s="210"/>
      <c r="DZ22" s="210"/>
      <c r="EA22" s="210"/>
      <c r="EB22" s="210"/>
      <c r="EC22" s="210"/>
      <c r="ED22" s="210"/>
      <c r="EE22" s="211"/>
      <c r="EF22" s="235"/>
      <c r="EG22" s="236"/>
      <c r="EH22" s="236"/>
      <c r="EI22" s="237"/>
    </row>
    <row r="23" spans="1:139" ht="14.1" customHeight="1">
      <c r="A23" s="249"/>
      <c r="B23" s="254"/>
      <c r="C23" s="259"/>
      <c r="D23" s="260"/>
      <c r="E23" s="260"/>
      <c r="F23" s="260"/>
      <c r="G23" s="260"/>
      <c r="H23" s="260"/>
      <c r="I23" s="260"/>
      <c r="J23" s="260"/>
      <c r="K23" s="260"/>
      <c r="L23" s="260"/>
      <c r="M23" s="260"/>
      <c r="N23" s="260"/>
      <c r="O23" s="261"/>
      <c r="P23" s="259"/>
      <c r="Q23" s="260"/>
      <c r="R23" s="260"/>
      <c r="S23" s="260"/>
      <c r="T23" s="260"/>
      <c r="U23" s="260"/>
      <c r="V23" s="260"/>
      <c r="W23" s="260"/>
      <c r="X23" s="260"/>
      <c r="Y23" s="260"/>
      <c r="Z23" s="260"/>
      <c r="AA23" s="260"/>
      <c r="AB23" s="260"/>
      <c r="AC23" s="260"/>
      <c r="AD23" s="260"/>
      <c r="AE23" s="261"/>
      <c r="AF23" s="732"/>
      <c r="AG23" s="733"/>
      <c r="AH23" s="733"/>
      <c r="AI23" s="733"/>
      <c r="AJ23" s="733"/>
      <c r="AK23" s="733"/>
      <c r="AL23" s="733"/>
      <c r="AM23" s="733"/>
      <c r="AN23" s="733"/>
      <c r="AO23" s="733"/>
      <c r="AP23" s="733"/>
      <c r="AQ23" s="733"/>
      <c r="AR23" s="733"/>
      <c r="AS23" s="733"/>
      <c r="AT23" s="733"/>
      <c r="AU23" s="733"/>
      <c r="AV23" s="733"/>
      <c r="AW23" s="733"/>
      <c r="AX23" s="733"/>
      <c r="AY23" s="734"/>
      <c r="AZ23" s="204"/>
      <c r="BA23" s="204"/>
      <c r="BB23" s="205"/>
      <c r="BC23" s="279"/>
      <c r="BD23" s="280"/>
      <c r="BE23" s="281"/>
      <c r="BF23" s="227"/>
      <c r="BG23" s="227"/>
      <c r="BH23" s="228"/>
      <c r="BI23" s="149" t="s">
        <v>46</v>
      </c>
      <c r="BJ23" s="150"/>
      <c r="BK23" s="163" t="s">
        <v>421</v>
      </c>
      <c r="BL23" s="20"/>
      <c r="BM23" s="20"/>
      <c r="BN23" s="20"/>
      <c r="BO23" s="20"/>
      <c r="BP23" s="20"/>
      <c r="BQ23" s="20"/>
      <c r="BR23" s="20"/>
      <c r="BS23" s="20"/>
      <c r="BT23" s="20"/>
      <c r="BU23" s="20"/>
      <c r="BV23" s="20"/>
      <c r="BW23" s="20"/>
      <c r="BX23" s="209"/>
      <c r="BY23" s="210"/>
      <c r="BZ23" s="210"/>
      <c r="CA23" s="210"/>
      <c r="CB23" s="210"/>
      <c r="CC23" s="210"/>
      <c r="CD23" s="210"/>
      <c r="CE23" s="216"/>
      <c r="CF23" s="226"/>
      <c r="CG23" s="227"/>
      <c r="CH23" s="228"/>
      <c r="CI23" s="209"/>
      <c r="CJ23" s="210"/>
      <c r="CK23" s="210"/>
      <c r="CL23" s="210"/>
      <c r="CM23" s="210"/>
      <c r="CN23" s="210"/>
      <c r="CO23" s="210"/>
      <c r="CP23" s="211"/>
      <c r="CQ23" s="235"/>
      <c r="CR23" s="236"/>
      <c r="CS23" s="236"/>
      <c r="CT23" s="237"/>
      <c r="CU23" s="226"/>
      <c r="CV23" s="227"/>
      <c r="CW23" s="228"/>
      <c r="CX23" s="149" t="s">
        <v>46</v>
      </c>
      <c r="CY23" s="150"/>
      <c r="CZ23" s="163" t="s">
        <v>422</v>
      </c>
      <c r="DA23" s="20"/>
      <c r="DB23" s="20"/>
      <c r="DC23" s="20"/>
      <c r="DD23" s="20"/>
      <c r="DE23" s="20"/>
      <c r="DF23" s="20"/>
      <c r="DG23" s="20"/>
      <c r="DH23" s="20"/>
      <c r="DI23" s="20"/>
      <c r="DJ23" s="20"/>
      <c r="DK23" s="20"/>
      <c r="DL23" s="20"/>
      <c r="DM23" s="209"/>
      <c r="DN23" s="210"/>
      <c r="DO23" s="210"/>
      <c r="DP23" s="210"/>
      <c r="DQ23" s="210"/>
      <c r="DR23" s="210"/>
      <c r="DS23" s="210"/>
      <c r="DT23" s="216"/>
      <c r="DU23" s="226"/>
      <c r="DV23" s="227"/>
      <c r="DW23" s="228"/>
      <c r="DX23" s="209"/>
      <c r="DY23" s="210"/>
      <c r="DZ23" s="210"/>
      <c r="EA23" s="210"/>
      <c r="EB23" s="210"/>
      <c r="EC23" s="210"/>
      <c r="ED23" s="210"/>
      <c r="EE23" s="211"/>
      <c r="EF23" s="235"/>
      <c r="EG23" s="236"/>
      <c r="EH23" s="236"/>
      <c r="EI23" s="237"/>
    </row>
    <row r="24" spans="1:139" ht="14.1" customHeight="1">
      <c r="A24" s="249"/>
      <c r="B24" s="254"/>
      <c r="C24" s="259"/>
      <c r="D24" s="260"/>
      <c r="E24" s="260"/>
      <c r="F24" s="260"/>
      <c r="G24" s="260"/>
      <c r="H24" s="260"/>
      <c r="I24" s="260"/>
      <c r="J24" s="260"/>
      <c r="K24" s="260"/>
      <c r="L24" s="260"/>
      <c r="M24" s="260"/>
      <c r="N24" s="260"/>
      <c r="O24" s="261"/>
      <c r="P24" s="259"/>
      <c r="Q24" s="260"/>
      <c r="R24" s="260"/>
      <c r="S24" s="260"/>
      <c r="T24" s="260"/>
      <c r="U24" s="260"/>
      <c r="V24" s="260"/>
      <c r="W24" s="260"/>
      <c r="X24" s="260"/>
      <c r="Y24" s="260"/>
      <c r="Z24" s="260"/>
      <c r="AA24" s="260"/>
      <c r="AB24" s="260"/>
      <c r="AC24" s="260"/>
      <c r="AD24" s="260"/>
      <c r="AE24" s="261"/>
      <c r="AF24" s="732"/>
      <c r="AG24" s="733"/>
      <c r="AH24" s="733"/>
      <c r="AI24" s="733"/>
      <c r="AJ24" s="733"/>
      <c r="AK24" s="733"/>
      <c r="AL24" s="733"/>
      <c r="AM24" s="733"/>
      <c r="AN24" s="733"/>
      <c r="AO24" s="733"/>
      <c r="AP24" s="733"/>
      <c r="AQ24" s="733"/>
      <c r="AR24" s="733"/>
      <c r="AS24" s="733"/>
      <c r="AT24" s="733"/>
      <c r="AU24" s="733"/>
      <c r="AV24" s="733"/>
      <c r="AW24" s="733"/>
      <c r="AX24" s="733"/>
      <c r="AY24" s="734"/>
      <c r="AZ24" s="204"/>
      <c r="BA24" s="204"/>
      <c r="BB24" s="205"/>
      <c r="BC24" s="279"/>
      <c r="BD24" s="280"/>
      <c r="BE24" s="281"/>
      <c r="BF24" s="227"/>
      <c r="BG24" s="227"/>
      <c r="BH24" s="228"/>
      <c r="BI24" s="149" t="s">
        <v>393</v>
      </c>
      <c r="BJ24" s="150"/>
      <c r="BK24" s="20"/>
      <c r="BL24" s="20"/>
      <c r="BM24" s="20"/>
      <c r="BN24" s="20"/>
      <c r="BO24" s="20"/>
      <c r="BP24" s="20"/>
      <c r="BQ24" s="20"/>
      <c r="BR24" s="20"/>
      <c r="BS24" s="20"/>
      <c r="BT24" s="20"/>
      <c r="BU24" s="20"/>
      <c r="BV24" s="20"/>
      <c r="BW24" s="20"/>
      <c r="BX24" s="209"/>
      <c r="BY24" s="210"/>
      <c r="BZ24" s="210"/>
      <c r="CA24" s="210"/>
      <c r="CB24" s="210"/>
      <c r="CC24" s="210"/>
      <c r="CD24" s="210"/>
      <c r="CE24" s="216"/>
      <c r="CF24" s="226"/>
      <c r="CG24" s="227"/>
      <c r="CH24" s="228"/>
      <c r="CI24" s="209"/>
      <c r="CJ24" s="210"/>
      <c r="CK24" s="210"/>
      <c r="CL24" s="210"/>
      <c r="CM24" s="210"/>
      <c r="CN24" s="210"/>
      <c r="CO24" s="210"/>
      <c r="CP24" s="211"/>
      <c r="CQ24" s="235"/>
      <c r="CR24" s="236"/>
      <c r="CS24" s="236"/>
      <c r="CT24" s="237"/>
      <c r="CU24" s="226"/>
      <c r="CV24" s="227"/>
      <c r="CW24" s="228"/>
      <c r="CX24" s="149" t="s">
        <v>393</v>
      </c>
      <c r="CY24" s="150"/>
      <c r="CZ24" s="20"/>
      <c r="DA24" s="20"/>
      <c r="DB24" s="20"/>
      <c r="DC24" s="20"/>
      <c r="DD24" s="20"/>
      <c r="DE24" s="20"/>
      <c r="DF24" s="20"/>
      <c r="DG24" s="20"/>
      <c r="DH24" s="20"/>
      <c r="DI24" s="20"/>
      <c r="DJ24" s="20"/>
      <c r="DK24" s="20"/>
      <c r="DL24" s="20"/>
      <c r="DM24" s="209"/>
      <c r="DN24" s="210"/>
      <c r="DO24" s="210"/>
      <c r="DP24" s="210"/>
      <c r="DQ24" s="210"/>
      <c r="DR24" s="210"/>
      <c r="DS24" s="210"/>
      <c r="DT24" s="216"/>
      <c r="DU24" s="226"/>
      <c r="DV24" s="227"/>
      <c r="DW24" s="228"/>
      <c r="DX24" s="209"/>
      <c r="DY24" s="210"/>
      <c r="DZ24" s="210"/>
      <c r="EA24" s="210"/>
      <c r="EB24" s="210"/>
      <c r="EC24" s="210"/>
      <c r="ED24" s="210"/>
      <c r="EE24" s="211"/>
      <c r="EF24" s="235"/>
      <c r="EG24" s="236"/>
      <c r="EH24" s="236"/>
      <c r="EI24" s="237"/>
    </row>
    <row r="25" spans="1:139" ht="14.1" customHeight="1">
      <c r="A25" s="249"/>
      <c r="B25" s="254"/>
      <c r="C25" s="259"/>
      <c r="D25" s="260"/>
      <c r="E25" s="260"/>
      <c r="F25" s="260"/>
      <c r="G25" s="260"/>
      <c r="H25" s="260"/>
      <c r="I25" s="260"/>
      <c r="J25" s="260"/>
      <c r="K25" s="260"/>
      <c r="L25" s="260"/>
      <c r="M25" s="260"/>
      <c r="N25" s="260"/>
      <c r="O25" s="261"/>
      <c r="P25" s="259"/>
      <c r="Q25" s="260"/>
      <c r="R25" s="260"/>
      <c r="S25" s="260"/>
      <c r="T25" s="260"/>
      <c r="U25" s="260"/>
      <c r="V25" s="260"/>
      <c r="W25" s="260"/>
      <c r="X25" s="260"/>
      <c r="Y25" s="260"/>
      <c r="Z25" s="260"/>
      <c r="AA25" s="260"/>
      <c r="AB25" s="260"/>
      <c r="AC25" s="260"/>
      <c r="AD25" s="260"/>
      <c r="AE25" s="261"/>
      <c r="AF25" s="732"/>
      <c r="AG25" s="733"/>
      <c r="AH25" s="733"/>
      <c r="AI25" s="733"/>
      <c r="AJ25" s="733"/>
      <c r="AK25" s="733"/>
      <c r="AL25" s="733"/>
      <c r="AM25" s="733"/>
      <c r="AN25" s="733"/>
      <c r="AO25" s="733"/>
      <c r="AP25" s="733"/>
      <c r="AQ25" s="733"/>
      <c r="AR25" s="733"/>
      <c r="AS25" s="733"/>
      <c r="AT25" s="733"/>
      <c r="AU25" s="733"/>
      <c r="AV25" s="733"/>
      <c r="AW25" s="733"/>
      <c r="AX25" s="733"/>
      <c r="AY25" s="734"/>
      <c r="AZ25" s="204"/>
      <c r="BA25" s="204"/>
      <c r="BB25" s="205"/>
      <c r="BC25" s="279"/>
      <c r="BD25" s="280"/>
      <c r="BE25" s="281"/>
      <c r="BF25" s="227"/>
      <c r="BG25" s="227"/>
      <c r="BH25" s="228"/>
      <c r="BI25" s="149" t="s">
        <v>47</v>
      </c>
      <c r="BJ25" s="150"/>
      <c r="BK25" s="20"/>
      <c r="BL25" s="20"/>
      <c r="BM25" s="20"/>
      <c r="BN25" s="20"/>
      <c r="BO25" s="20"/>
      <c r="BP25" s="20"/>
      <c r="BQ25" s="20"/>
      <c r="BR25" s="20"/>
      <c r="BS25" s="20"/>
      <c r="BT25" s="20"/>
      <c r="BU25" s="20"/>
      <c r="BV25" s="20"/>
      <c r="BW25" s="20"/>
      <c r="BX25" s="209"/>
      <c r="BY25" s="210"/>
      <c r="BZ25" s="210"/>
      <c r="CA25" s="210"/>
      <c r="CB25" s="210"/>
      <c r="CC25" s="210"/>
      <c r="CD25" s="210"/>
      <c r="CE25" s="216"/>
      <c r="CF25" s="226"/>
      <c r="CG25" s="227"/>
      <c r="CH25" s="228"/>
      <c r="CI25" s="209"/>
      <c r="CJ25" s="210"/>
      <c r="CK25" s="210"/>
      <c r="CL25" s="210"/>
      <c r="CM25" s="210"/>
      <c r="CN25" s="210"/>
      <c r="CO25" s="210"/>
      <c r="CP25" s="211"/>
      <c r="CQ25" s="235"/>
      <c r="CR25" s="236"/>
      <c r="CS25" s="236"/>
      <c r="CT25" s="237"/>
      <c r="CU25" s="226"/>
      <c r="CV25" s="227"/>
      <c r="CW25" s="228"/>
      <c r="CX25" s="149" t="s">
        <v>47</v>
      </c>
      <c r="CY25" s="150"/>
      <c r="CZ25" s="20"/>
      <c r="DA25" s="20"/>
      <c r="DB25" s="20"/>
      <c r="DC25" s="20"/>
      <c r="DD25" s="20"/>
      <c r="DE25" s="20"/>
      <c r="DF25" s="20"/>
      <c r="DG25" s="20"/>
      <c r="DH25" s="20"/>
      <c r="DI25" s="20"/>
      <c r="DJ25" s="20"/>
      <c r="DK25" s="20"/>
      <c r="DL25" s="20"/>
      <c r="DM25" s="209"/>
      <c r="DN25" s="210"/>
      <c r="DO25" s="210"/>
      <c r="DP25" s="210"/>
      <c r="DQ25" s="210"/>
      <c r="DR25" s="210"/>
      <c r="DS25" s="210"/>
      <c r="DT25" s="216"/>
      <c r="DU25" s="226"/>
      <c r="DV25" s="227"/>
      <c r="DW25" s="228"/>
      <c r="DX25" s="209"/>
      <c r="DY25" s="210"/>
      <c r="DZ25" s="210"/>
      <c r="EA25" s="210"/>
      <c r="EB25" s="210"/>
      <c r="EC25" s="210"/>
      <c r="ED25" s="210"/>
      <c r="EE25" s="211"/>
      <c r="EF25" s="235"/>
      <c r="EG25" s="236"/>
      <c r="EH25" s="236"/>
      <c r="EI25" s="237"/>
    </row>
    <row r="26" spans="1:139" ht="14.1" customHeight="1">
      <c r="A26" s="249"/>
      <c r="B26" s="254"/>
      <c r="C26" s="259"/>
      <c r="D26" s="260"/>
      <c r="E26" s="260"/>
      <c r="F26" s="260"/>
      <c r="G26" s="260"/>
      <c r="H26" s="260"/>
      <c r="I26" s="260"/>
      <c r="J26" s="260"/>
      <c r="K26" s="260"/>
      <c r="L26" s="260"/>
      <c r="M26" s="260"/>
      <c r="N26" s="260"/>
      <c r="O26" s="261"/>
      <c r="P26" s="259"/>
      <c r="Q26" s="260"/>
      <c r="R26" s="260"/>
      <c r="S26" s="260"/>
      <c r="T26" s="260"/>
      <c r="U26" s="260"/>
      <c r="V26" s="260"/>
      <c r="W26" s="260"/>
      <c r="X26" s="260"/>
      <c r="Y26" s="260"/>
      <c r="Z26" s="260"/>
      <c r="AA26" s="260"/>
      <c r="AB26" s="260"/>
      <c r="AC26" s="260"/>
      <c r="AD26" s="260"/>
      <c r="AE26" s="261"/>
      <c r="AF26" s="732"/>
      <c r="AG26" s="733"/>
      <c r="AH26" s="733"/>
      <c r="AI26" s="733"/>
      <c r="AJ26" s="733"/>
      <c r="AK26" s="733"/>
      <c r="AL26" s="733"/>
      <c r="AM26" s="733"/>
      <c r="AN26" s="733"/>
      <c r="AO26" s="733"/>
      <c r="AP26" s="733"/>
      <c r="AQ26" s="733"/>
      <c r="AR26" s="733"/>
      <c r="AS26" s="733"/>
      <c r="AT26" s="733"/>
      <c r="AU26" s="733"/>
      <c r="AV26" s="733"/>
      <c r="AW26" s="733"/>
      <c r="AX26" s="733"/>
      <c r="AY26" s="734"/>
      <c r="AZ26" s="204"/>
      <c r="BA26" s="204"/>
      <c r="BB26" s="205"/>
      <c r="BC26" s="279"/>
      <c r="BD26" s="280"/>
      <c r="BE26" s="281"/>
      <c r="BF26" s="227"/>
      <c r="BG26" s="227"/>
      <c r="BH26" s="228"/>
      <c r="BI26" s="151" t="s">
        <v>48</v>
      </c>
      <c r="BJ26" s="150"/>
      <c r="BK26" s="20"/>
      <c r="BL26" s="20"/>
      <c r="BM26" s="20"/>
      <c r="BN26" s="20"/>
      <c r="BO26" s="20"/>
      <c r="BP26" s="20"/>
      <c r="BQ26" s="20"/>
      <c r="BR26" s="20"/>
      <c r="BS26" s="20"/>
      <c r="BT26" s="20"/>
      <c r="BU26" s="20"/>
      <c r="BV26" s="20"/>
      <c r="BW26" s="20"/>
      <c r="BX26" s="209"/>
      <c r="BY26" s="210"/>
      <c r="BZ26" s="210"/>
      <c r="CA26" s="210"/>
      <c r="CB26" s="210"/>
      <c r="CC26" s="210"/>
      <c r="CD26" s="210"/>
      <c r="CE26" s="216"/>
      <c r="CF26" s="226"/>
      <c r="CG26" s="227"/>
      <c r="CH26" s="228"/>
      <c r="CI26" s="209"/>
      <c r="CJ26" s="210"/>
      <c r="CK26" s="210"/>
      <c r="CL26" s="210"/>
      <c r="CM26" s="210"/>
      <c r="CN26" s="210"/>
      <c r="CO26" s="210"/>
      <c r="CP26" s="211"/>
      <c r="CQ26" s="235"/>
      <c r="CR26" s="236"/>
      <c r="CS26" s="236"/>
      <c r="CT26" s="237"/>
      <c r="CU26" s="226"/>
      <c r="CV26" s="227"/>
      <c r="CW26" s="228"/>
      <c r="CX26" s="151" t="s">
        <v>48</v>
      </c>
      <c r="CY26" s="150"/>
      <c r="CZ26" s="20"/>
      <c r="DA26" s="20"/>
      <c r="DB26" s="20"/>
      <c r="DC26" s="20"/>
      <c r="DD26" s="20"/>
      <c r="DE26" s="20"/>
      <c r="DF26" s="20"/>
      <c r="DG26" s="20"/>
      <c r="DH26" s="20"/>
      <c r="DI26" s="20"/>
      <c r="DJ26" s="20"/>
      <c r="DK26" s="20"/>
      <c r="DL26" s="20"/>
      <c r="DM26" s="209"/>
      <c r="DN26" s="210"/>
      <c r="DO26" s="210"/>
      <c r="DP26" s="210"/>
      <c r="DQ26" s="210"/>
      <c r="DR26" s="210"/>
      <c r="DS26" s="210"/>
      <c r="DT26" s="216"/>
      <c r="DU26" s="226"/>
      <c r="DV26" s="227"/>
      <c r="DW26" s="228"/>
      <c r="DX26" s="209"/>
      <c r="DY26" s="210"/>
      <c r="DZ26" s="210"/>
      <c r="EA26" s="210"/>
      <c r="EB26" s="210"/>
      <c r="EC26" s="210"/>
      <c r="ED26" s="210"/>
      <c r="EE26" s="211"/>
      <c r="EF26" s="235"/>
      <c r="EG26" s="236"/>
      <c r="EH26" s="236"/>
      <c r="EI26" s="237"/>
    </row>
    <row r="27" spans="1:139" ht="14.1" customHeight="1">
      <c r="A27" s="251"/>
      <c r="B27" s="255"/>
      <c r="C27" s="262"/>
      <c r="D27" s="263"/>
      <c r="E27" s="263"/>
      <c r="F27" s="263"/>
      <c r="G27" s="263"/>
      <c r="H27" s="263"/>
      <c r="I27" s="263"/>
      <c r="J27" s="263"/>
      <c r="K27" s="263"/>
      <c r="L27" s="263"/>
      <c r="M27" s="263"/>
      <c r="N27" s="263"/>
      <c r="O27" s="264"/>
      <c r="P27" s="262"/>
      <c r="Q27" s="263"/>
      <c r="R27" s="263"/>
      <c r="S27" s="263"/>
      <c r="T27" s="263"/>
      <c r="U27" s="263"/>
      <c r="V27" s="263"/>
      <c r="W27" s="263"/>
      <c r="X27" s="263"/>
      <c r="Y27" s="263"/>
      <c r="Z27" s="263"/>
      <c r="AA27" s="263"/>
      <c r="AB27" s="263"/>
      <c r="AC27" s="263"/>
      <c r="AD27" s="263"/>
      <c r="AE27" s="264"/>
      <c r="AF27" s="735"/>
      <c r="AG27" s="736"/>
      <c r="AH27" s="736"/>
      <c r="AI27" s="736"/>
      <c r="AJ27" s="736"/>
      <c r="AK27" s="736"/>
      <c r="AL27" s="736"/>
      <c r="AM27" s="736"/>
      <c r="AN27" s="736"/>
      <c r="AO27" s="736"/>
      <c r="AP27" s="736"/>
      <c r="AQ27" s="736"/>
      <c r="AR27" s="736"/>
      <c r="AS27" s="736"/>
      <c r="AT27" s="736"/>
      <c r="AU27" s="736"/>
      <c r="AV27" s="736"/>
      <c r="AW27" s="736"/>
      <c r="AX27" s="736"/>
      <c r="AY27" s="737"/>
      <c r="AZ27" s="204"/>
      <c r="BA27" s="204"/>
      <c r="BB27" s="205"/>
      <c r="BC27" s="282"/>
      <c r="BD27" s="283"/>
      <c r="BE27" s="284"/>
      <c r="BF27" s="230"/>
      <c r="BG27" s="230"/>
      <c r="BH27" s="231"/>
      <c r="BI27" s="218"/>
      <c r="BJ27" s="219"/>
      <c r="BK27" s="152"/>
      <c r="BL27" s="152"/>
      <c r="BM27" s="152"/>
      <c r="BN27" s="152"/>
      <c r="BO27" s="152"/>
      <c r="BP27" s="152"/>
      <c r="BQ27" s="152"/>
      <c r="BR27" s="152"/>
      <c r="BS27" s="152"/>
      <c r="BT27" s="152"/>
      <c r="BU27" s="152"/>
      <c r="BV27" s="152"/>
      <c r="BW27" s="153"/>
      <c r="BX27" s="212"/>
      <c r="BY27" s="213"/>
      <c r="BZ27" s="213"/>
      <c r="CA27" s="213"/>
      <c r="CB27" s="213"/>
      <c r="CC27" s="213"/>
      <c r="CD27" s="213"/>
      <c r="CE27" s="217"/>
      <c r="CF27" s="229"/>
      <c r="CG27" s="230"/>
      <c r="CH27" s="231"/>
      <c r="CI27" s="212"/>
      <c r="CJ27" s="213"/>
      <c r="CK27" s="213"/>
      <c r="CL27" s="213"/>
      <c r="CM27" s="213"/>
      <c r="CN27" s="213"/>
      <c r="CO27" s="213"/>
      <c r="CP27" s="214"/>
      <c r="CQ27" s="238"/>
      <c r="CR27" s="239"/>
      <c r="CS27" s="239"/>
      <c r="CT27" s="240"/>
      <c r="CU27" s="229"/>
      <c r="CV27" s="230"/>
      <c r="CW27" s="231"/>
      <c r="CX27" s="218"/>
      <c r="CY27" s="219"/>
      <c r="CZ27" s="152"/>
      <c r="DA27" s="152"/>
      <c r="DB27" s="152"/>
      <c r="DC27" s="152"/>
      <c r="DD27" s="152"/>
      <c r="DE27" s="152"/>
      <c r="DF27" s="152"/>
      <c r="DG27" s="152"/>
      <c r="DH27" s="152"/>
      <c r="DI27" s="152"/>
      <c r="DJ27" s="152"/>
      <c r="DK27" s="152"/>
      <c r="DL27" s="153"/>
      <c r="DM27" s="212"/>
      <c r="DN27" s="213"/>
      <c r="DO27" s="213"/>
      <c r="DP27" s="213"/>
      <c r="DQ27" s="213"/>
      <c r="DR27" s="213"/>
      <c r="DS27" s="213"/>
      <c r="DT27" s="217"/>
      <c r="DU27" s="229"/>
      <c r="DV27" s="230"/>
      <c r="DW27" s="231"/>
      <c r="DX27" s="212"/>
      <c r="DY27" s="213"/>
      <c r="DZ27" s="213"/>
      <c r="EA27" s="213"/>
      <c r="EB27" s="213"/>
      <c r="EC27" s="213"/>
      <c r="ED27" s="213"/>
      <c r="EE27" s="214"/>
      <c r="EF27" s="238"/>
      <c r="EG27" s="239"/>
      <c r="EH27" s="239"/>
      <c r="EI27" s="240"/>
    </row>
    <row r="28" spans="1:139" ht="14.1" customHeight="1">
      <c r="A28" s="247">
        <v>3</v>
      </c>
      <c r="B28" s="253"/>
      <c r="C28" s="256" t="s">
        <v>419</v>
      </c>
      <c r="D28" s="257"/>
      <c r="E28" s="257"/>
      <c r="F28" s="257"/>
      <c r="G28" s="257"/>
      <c r="H28" s="257"/>
      <c r="I28" s="257"/>
      <c r="J28" s="257"/>
      <c r="K28" s="257"/>
      <c r="L28" s="257"/>
      <c r="M28" s="257"/>
      <c r="N28" s="257"/>
      <c r="O28" s="258"/>
      <c r="P28" s="256" t="s">
        <v>420</v>
      </c>
      <c r="Q28" s="257"/>
      <c r="R28" s="257"/>
      <c r="S28" s="257"/>
      <c r="T28" s="257"/>
      <c r="U28" s="257"/>
      <c r="V28" s="257"/>
      <c r="W28" s="257"/>
      <c r="X28" s="257"/>
      <c r="Y28" s="257"/>
      <c r="Z28" s="257"/>
      <c r="AA28" s="257"/>
      <c r="AB28" s="257"/>
      <c r="AC28" s="257"/>
      <c r="AD28" s="257"/>
      <c r="AE28" s="258"/>
      <c r="AF28" s="738" t="s">
        <v>430</v>
      </c>
      <c r="AG28" s="739"/>
      <c r="AH28" s="739"/>
      <c r="AI28" s="739"/>
      <c r="AJ28" s="739"/>
      <c r="AK28" s="739"/>
      <c r="AL28" s="739"/>
      <c r="AM28" s="739"/>
      <c r="AN28" s="739"/>
      <c r="AO28" s="739"/>
      <c r="AP28" s="739"/>
      <c r="AQ28" s="739"/>
      <c r="AR28" s="739"/>
      <c r="AS28" s="739"/>
      <c r="AT28" s="739"/>
      <c r="AU28" s="739"/>
      <c r="AV28" s="739"/>
      <c r="AW28" s="739"/>
      <c r="AX28" s="739"/>
      <c r="AY28" s="740"/>
      <c r="AZ28" s="204" t="s">
        <v>391</v>
      </c>
      <c r="BA28" s="204"/>
      <c r="BB28" s="205"/>
      <c r="BC28" s="276">
        <f>IF(AZ28="","0",VLOOKUP(AZ28,設定!$G$26:$H$28,2,FALSE))</f>
        <v>1</v>
      </c>
      <c r="BD28" s="277"/>
      <c r="BE28" s="278"/>
      <c r="BF28" s="224">
        <v>25</v>
      </c>
      <c r="BG28" s="224"/>
      <c r="BH28" s="225"/>
      <c r="BI28" s="148" t="s">
        <v>45</v>
      </c>
      <c r="BJ28" s="20"/>
      <c r="BK28" s="163"/>
      <c r="BL28" s="20"/>
      <c r="BM28" s="20"/>
      <c r="BN28" s="20"/>
      <c r="BO28" s="20"/>
      <c r="BP28" s="20"/>
      <c r="BQ28" s="20"/>
      <c r="BR28" s="20"/>
      <c r="BS28" s="20"/>
      <c r="BT28" s="20"/>
      <c r="BU28" s="20"/>
      <c r="BV28" s="20"/>
      <c r="BW28" s="20"/>
      <c r="BX28" s="206"/>
      <c r="BY28" s="207"/>
      <c r="BZ28" s="207"/>
      <c r="CA28" s="207"/>
      <c r="CB28" s="207"/>
      <c r="CC28" s="207"/>
      <c r="CD28" s="207"/>
      <c r="CE28" s="215"/>
      <c r="CF28" s="223"/>
      <c r="CG28" s="224"/>
      <c r="CH28" s="225"/>
      <c r="CI28" s="206"/>
      <c r="CJ28" s="207"/>
      <c r="CK28" s="207"/>
      <c r="CL28" s="207"/>
      <c r="CM28" s="207"/>
      <c r="CN28" s="207"/>
      <c r="CO28" s="207"/>
      <c r="CP28" s="208"/>
      <c r="CQ28" s="232" t="str">
        <f>IF(BF28*CF28*BC28=0,"",BF28*CF28*BC28)</f>
        <v/>
      </c>
      <c r="CR28" s="233"/>
      <c r="CS28" s="233"/>
      <c r="CT28" s="234"/>
      <c r="CU28" s="223">
        <v>25</v>
      </c>
      <c r="CV28" s="224"/>
      <c r="CW28" s="225"/>
      <c r="CX28" s="148" t="s">
        <v>45</v>
      </c>
      <c r="CY28" s="20"/>
      <c r="CZ28" s="163"/>
      <c r="DA28" s="20"/>
      <c r="DB28" s="20"/>
      <c r="DC28" s="20"/>
      <c r="DD28" s="20"/>
      <c r="DE28" s="20"/>
      <c r="DF28" s="20"/>
      <c r="DG28" s="20"/>
      <c r="DH28" s="20"/>
      <c r="DI28" s="20"/>
      <c r="DJ28" s="20"/>
      <c r="DK28" s="20"/>
      <c r="DL28" s="20"/>
      <c r="DM28" s="206"/>
      <c r="DN28" s="207"/>
      <c r="DO28" s="207"/>
      <c r="DP28" s="207"/>
      <c r="DQ28" s="207"/>
      <c r="DR28" s="207"/>
      <c r="DS28" s="207"/>
      <c r="DT28" s="215"/>
      <c r="DU28" s="223"/>
      <c r="DV28" s="224"/>
      <c r="DW28" s="225"/>
      <c r="DX28" s="206"/>
      <c r="DY28" s="207"/>
      <c r="DZ28" s="207"/>
      <c r="EA28" s="207"/>
      <c r="EB28" s="207"/>
      <c r="EC28" s="207"/>
      <c r="ED28" s="207"/>
      <c r="EE28" s="208"/>
      <c r="EF28" s="232" t="str">
        <f>IF(CU28*DU28*BC28=0,"",CU28*DU28*BC28)</f>
        <v/>
      </c>
      <c r="EG28" s="233"/>
      <c r="EH28" s="233"/>
      <c r="EI28" s="234"/>
    </row>
    <row r="29" spans="1:139" ht="14.1" customHeight="1">
      <c r="A29" s="249"/>
      <c r="B29" s="254"/>
      <c r="C29" s="259"/>
      <c r="D29" s="260"/>
      <c r="E29" s="260"/>
      <c r="F29" s="260"/>
      <c r="G29" s="260"/>
      <c r="H29" s="260"/>
      <c r="I29" s="260"/>
      <c r="J29" s="260"/>
      <c r="K29" s="260"/>
      <c r="L29" s="260"/>
      <c r="M29" s="260"/>
      <c r="N29" s="260"/>
      <c r="O29" s="261"/>
      <c r="P29" s="259"/>
      <c r="Q29" s="260"/>
      <c r="R29" s="260"/>
      <c r="S29" s="260"/>
      <c r="T29" s="260"/>
      <c r="U29" s="260"/>
      <c r="V29" s="260"/>
      <c r="W29" s="260"/>
      <c r="X29" s="260"/>
      <c r="Y29" s="260"/>
      <c r="Z29" s="260"/>
      <c r="AA29" s="260"/>
      <c r="AB29" s="260"/>
      <c r="AC29" s="260"/>
      <c r="AD29" s="260"/>
      <c r="AE29" s="261"/>
      <c r="AF29" s="732"/>
      <c r="AG29" s="733"/>
      <c r="AH29" s="733"/>
      <c r="AI29" s="733"/>
      <c r="AJ29" s="733"/>
      <c r="AK29" s="733"/>
      <c r="AL29" s="733"/>
      <c r="AM29" s="733"/>
      <c r="AN29" s="733"/>
      <c r="AO29" s="733"/>
      <c r="AP29" s="733"/>
      <c r="AQ29" s="733"/>
      <c r="AR29" s="733"/>
      <c r="AS29" s="733"/>
      <c r="AT29" s="733"/>
      <c r="AU29" s="733"/>
      <c r="AV29" s="733"/>
      <c r="AW29" s="733"/>
      <c r="AX29" s="733"/>
      <c r="AY29" s="734"/>
      <c r="AZ29" s="204"/>
      <c r="BA29" s="204"/>
      <c r="BB29" s="205"/>
      <c r="BC29" s="279"/>
      <c r="BD29" s="280"/>
      <c r="BE29" s="281"/>
      <c r="BF29" s="227"/>
      <c r="BG29" s="227"/>
      <c r="BH29" s="228"/>
      <c r="BI29" s="149" t="s">
        <v>394</v>
      </c>
      <c r="BJ29" s="150"/>
      <c r="BK29" s="163"/>
      <c r="BL29" s="20"/>
      <c r="BM29" s="20"/>
      <c r="BN29" s="20"/>
      <c r="BO29" s="20"/>
      <c r="BP29" s="20"/>
      <c r="BQ29" s="20"/>
      <c r="BR29" s="20"/>
      <c r="BS29" s="20"/>
      <c r="BT29" s="20"/>
      <c r="BU29" s="20"/>
      <c r="BV29" s="20"/>
      <c r="BW29" s="20"/>
      <c r="BX29" s="209"/>
      <c r="BY29" s="210"/>
      <c r="BZ29" s="210"/>
      <c r="CA29" s="210"/>
      <c r="CB29" s="210"/>
      <c r="CC29" s="210"/>
      <c r="CD29" s="210"/>
      <c r="CE29" s="216"/>
      <c r="CF29" s="226"/>
      <c r="CG29" s="227"/>
      <c r="CH29" s="228"/>
      <c r="CI29" s="209"/>
      <c r="CJ29" s="210"/>
      <c r="CK29" s="210"/>
      <c r="CL29" s="210"/>
      <c r="CM29" s="210"/>
      <c r="CN29" s="210"/>
      <c r="CO29" s="210"/>
      <c r="CP29" s="211"/>
      <c r="CQ29" s="235"/>
      <c r="CR29" s="236"/>
      <c r="CS29" s="236"/>
      <c r="CT29" s="237"/>
      <c r="CU29" s="226"/>
      <c r="CV29" s="227"/>
      <c r="CW29" s="228"/>
      <c r="CX29" s="149" t="s">
        <v>394</v>
      </c>
      <c r="CY29" s="150"/>
      <c r="CZ29" s="163"/>
      <c r="DA29" s="20"/>
      <c r="DB29" s="20"/>
      <c r="DC29" s="20"/>
      <c r="DD29" s="20"/>
      <c r="DE29" s="20"/>
      <c r="DF29" s="20"/>
      <c r="DG29" s="20"/>
      <c r="DH29" s="20"/>
      <c r="DI29" s="20"/>
      <c r="DJ29" s="20"/>
      <c r="DK29" s="20"/>
      <c r="DL29" s="20"/>
      <c r="DM29" s="209"/>
      <c r="DN29" s="210"/>
      <c r="DO29" s="210"/>
      <c r="DP29" s="210"/>
      <c r="DQ29" s="210"/>
      <c r="DR29" s="210"/>
      <c r="DS29" s="210"/>
      <c r="DT29" s="216"/>
      <c r="DU29" s="226"/>
      <c r="DV29" s="227"/>
      <c r="DW29" s="228"/>
      <c r="DX29" s="209"/>
      <c r="DY29" s="210"/>
      <c r="DZ29" s="210"/>
      <c r="EA29" s="210"/>
      <c r="EB29" s="210"/>
      <c r="EC29" s="210"/>
      <c r="ED29" s="210"/>
      <c r="EE29" s="211"/>
      <c r="EF29" s="235"/>
      <c r="EG29" s="236"/>
      <c r="EH29" s="236"/>
      <c r="EI29" s="237"/>
    </row>
    <row r="30" spans="1:139" ht="14.1" customHeight="1">
      <c r="A30" s="249"/>
      <c r="B30" s="254"/>
      <c r="C30" s="259"/>
      <c r="D30" s="260"/>
      <c r="E30" s="260"/>
      <c r="F30" s="260"/>
      <c r="G30" s="260"/>
      <c r="H30" s="260"/>
      <c r="I30" s="260"/>
      <c r="J30" s="260"/>
      <c r="K30" s="260"/>
      <c r="L30" s="260"/>
      <c r="M30" s="260"/>
      <c r="N30" s="260"/>
      <c r="O30" s="261"/>
      <c r="P30" s="259"/>
      <c r="Q30" s="260"/>
      <c r="R30" s="260"/>
      <c r="S30" s="260"/>
      <c r="T30" s="260"/>
      <c r="U30" s="260"/>
      <c r="V30" s="260"/>
      <c r="W30" s="260"/>
      <c r="X30" s="260"/>
      <c r="Y30" s="260"/>
      <c r="Z30" s="260"/>
      <c r="AA30" s="260"/>
      <c r="AB30" s="260"/>
      <c r="AC30" s="260"/>
      <c r="AD30" s="260"/>
      <c r="AE30" s="261"/>
      <c r="AF30" s="732"/>
      <c r="AG30" s="733"/>
      <c r="AH30" s="733"/>
      <c r="AI30" s="733"/>
      <c r="AJ30" s="733"/>
      <c r="AK30" s="733"/>
      <c r="AL30" s="733"/>
      <c r="AM30" s="733"/>
      <c r="AN30" s="733"/>
      <c r="AO30" s="733"/>
      <c r="AP30" s="733"/>
      <c r="AQ30" s="733"/>
      <c r="AR30" s="733"/>
      <c r="AS30" s="733"/>
      <c r="AT30" s="733"/>
      <c r="AU30" s="733"/>
      <c r="AV30" s="733"/>
      <c r="AW30" s="733"/>
      <c r="AX30" s="733"/>
      <c r="AY30" s="734"/>
      <c r="AZ30" s="204"/>
      <c r="BA30" s="204"/>
      <c r="BB30" s="205"/>
      <c r="BC30" s="279"/>
      <c r="BD30" s="280"/>
      <c r="BE30" s="281"/>
      <c r="BF30" s="227"/>
      <c r="BG30" s="227"/>
      <c r="BH30" s="228"/>
      <c r="BI30" s="149" t="s">
        <v>46</v>
      </c>
      <c r="BJ30" s="150"/>
      <c r="BK30" s="163"/>
      <c r="BL30" s="20"/>
      <c r="BM30" s="20"/>
      <c r="BN30" s="20"/>
      <c r="BO30" s="20"/>
      <c r="BP30" s="20"/>
      <c r="BQ30" s="20"/>
      <c r="BR30" s="20"/>
      <c r="BS30" s="20"/>
      <c r="BT30" s="20"/>
      <c r="BU30" s="20"/>
      <c r="BV30" s="20"/>
      <c r="BW30" s="20"/>
      <c r="BX30" s="209"/>
      <c r="BY30" s="210"/>
      <c r="BZ30" s="210"/>
      <c r="CA30" s="210"/>
      <c r="CB30" s="210"/>
      <c r="CC30" s="210"/>
      <c r="CD30" s="210"/>
      <c r="CE30" s="216"/>
      <c r="CF30" s="226"/>
      <c r="CG30" s="227"/>
      <c r="CH30" s="228"/>
      <c r="CI30" s="209"/>
      <c r="CJ30" s="210"/>
      <c r="CK30" s="210"/>
      <c r="CL30" s="210"/>
      <c r="CM30" s="210"/>
      <c r="CN30" s="210"/>
      <c r="CO30" s="210"/>
      <c r="CP30" s="211"/>
      <c r="CQ30" s="235"/>
      <c r="CR30" s="236"/>
      <c r="CS30" s="236"/>
      <c r="CT30" s="237"/>
      <c r="CU30" s="226"/>
      <c r="CV30" s="227"/>
      <c r="CW30" s="228"/>
      <c r="CX30" s="149" t="s">
        <v>46</v>
      </c>
      <c r="CY30" s="150"/>
      <c r="CZ30" s="163"/>
      <c r="DA30" s="20"/>
      <c r="DB30" s="20"/>
      <c r="DC30" s="20"/>
      <c r="DD30" s="20"/>
      <c r="DE30" s="20"/>
      <c r="DF30" s="20"/>
      <c r="DG30" s="20"/>
      <c r="DH30" s="20"/>
      <c r="DI30" s="20"/>
      <c r="DJ30" s="20"/>
      <c r="DK30" s="20"/>
      <c r="DL30" s="20"/>
      <c r="DM30" s="209"/>
      <c r="DN30" s="210"/>
      <c r="DO30" s="210"/>
      <c r="DP30" s="210"/>
      <c r="DQ30" s="210"/>
      <c r="DR30" s="210"/>
      <c r="DS30" s="210"/>
      <c r="DT30" s="216"/>
      <c r="DU30" s="226"/>
      <c r="DV30" s="227"/>
      <c r="DW30" s="228"/>
      <c r="DX30" s="209"/>
      <c r="DY30" s="210"/>
      <c r="DZ30" s="210"/>
      <c r="EA30" s="210"/>
      <c r="EB30" s="210"/>
      <c r="EC30" s="210"/>
      <c r="ED30" s="210"/>
      <c r="EE30" s="211"/>
      <c r="EF30" s="235"/>
      <c r="EG30" s="236"/>
      <c r="EH30" s="236"/>
      <c r="EI30" s="237"/>
    </row>
    <row r="31" spans="1:139" ht="14.1" customHeight="1">
      <c r="A31" s="249"/>
      <c r="B31" s="254"/>
      <c r="C31" s="259"/>
      <c r="D31" s="260"/>
      <c r="E31" s="260"/>
      <c r="F31" s="260"/>
      <c r="G31" s="260"/>
      <c r="H31" s="260"/>
      <c r="I31" s="260"/>
      <c r="J31" s="260"/>
      <c r="K31" s="260"/>
      <c r="L31" s="260"/>
      <c r="M31" s="260"/>
      <c r="N31" s="260"/>
      <c r="O31" s="261"/>
      <c r="P31" s="259"/>
      <c r="Q31" s="260"/>
      <c r="R31" s="260"/>
      <c r="S31" s="260"/>
      <c r="T31" s="260"/>
      <c r="U31" s="260"/>
      <c r="V31" s="260"/>
      <c r="W31" s="260"/>
      <c r="X31" s="260"/>
      <c r="Y31" s="260"/>
      <c r="Z31" s="260"/>
      <c r="AA31" s="260"/>
      <c r="AB31" s="260"/>
      <c r="AC31" s="260"/>
      <c r="AD31" s="260"/>
      <c r="AE31" s="261"/>
      <c r="AF31" s="732"/>
      <c r="AG31" s="733"/>
      <c r="AH31" s="733"/>
      <c r="AI31" s="733"/>
      <c r="AJ31" s="733"/>
      <c r="AK31" s="733"/>
      <c r="AL31" s="733"/>
      <c r="AM31" s="733"/>
      <c r="AN31" s="733"/>
      <c r="AO31" s="733"/>
      <c r="AP31" s="733"/>
      <c r="AQ31" s="733"/>
      <c r="AR31" s="733"/>
      <c r="AS31" s="733"/>
      <c r="AT31" s="733"/>
      <c r="AU31" s="733"/>
      <c r="AV31" s="733"/>
      <c r="AW31" s="733"/>
      <c r="AX31" s="733"/>
      <c r="AY31" s="734"/>
      <c r="AZ31" s="204"/>
      <c r="BA31" s="204"/>
      <c r="BB31" s="205"/>
      <c r="BC31" s="279"/>
      <c r="BD31" s="280"/>
      <c r="BE31" s="281"/>
      <c r="BF31" s="227"/>
      <c r="BG31" s="227"/>
      <c r="BH31" s="228"/>
      <c r="BI31" s="149" t="s">
        <v>393</v>
      </c>
      <c r="BJ31" s="150"/>
      <c r="BK31" s="163"/>
      <c r="BL31" s="20"/>
      <c r="BM31" s="20"/>
      <c r="BN31" s="20"/>
      <c r="BO31" s="20"/>
      <c r="BP31" s="20"/>
      <c r="BQ31" s="20"/>
      <c r="BR31" s="20"/>
      <c r="BS31" s="20"/>
      <c r="BT31" s="20"/>
      <c r="BU31" s="20"/>
      <c r="BV31" s="20"/>
      <c r="BW31" s="20"/>
      <c r="BX31" s="209"/>
      <c r="BY31" s="210"/>
      <c r="BZ31" s="210"/>
      <c r="CA31" s="210"/>
      <c r="CB31" s="210"/>
      <c r="CC31" s="210"/>
      <c r="CD31" s="210"/>
      <c r="CE31" s="216"/>
      <c r="CF31" s="226"/>
      <c r="CG31" s="227"/>
      <c r="CH31" s="228"/>
      <c r="CI31" s="209"/>
      <c r="CJ31" s="210"/>
      <c r="CK31" s="210"/>
      <c r="CL31" s="210"/>
      <c r="CM31" s="210"/>
      <c r="CN31" s="210"/>
      <c r="CO31" s="210"/>
      <c r="CP31" s="211"/>
      <c r="CQ31" s="235"/>
      <c r="CR31" s="236"/>
      <c r="CS31" s="236"/>
      <c r="CT31" s="237"/>
      <c r="CU31" s="226"/>
      <c r="CV31" s="227"/>
      <c r="CW31" s="228"/>
      <c r="CX31" s="149" t="s">
        <v>393</v>
      </c>
      <c r="CY31" s="150"/>
      <c r="CZ31" s="163"/>
      <c r="DA31" s="20"/>
      <c r="DB31" s="20"/>
      <c r="DC31" s="20"/>
      <c r="DD31" s="20"/>
      <c r="DE31" s="20"/>
      <c r="DF31" s="20"/>
      <c r="DG31" s="20"/>
      <c r="DH31" s="20"/>
      <c r="DI31" s="20"/>
      <c r="DJ31" s="20"/>
      <c r="DK31" s="20"/>
      <c r="DL31" s="20"/>
      <c r="DM31" s="209"/>
      <c r="DN31" s="210"/>
      <c r="DO31" s="210"/>
      <c r="DP31" s="210"/>
      <c r="DQ31" s="210"/>
      <c r="DR31" s="210"/>
      <c r="DS31" s="210"/>
      <c r="DT31" s="216"/>
      <c r="DU31" s="226"/>
      <c r="DV31" s="227"/>
      <c r="DW31" s="228"/>
      <c r="DX31" s="209"/>
      <c r="DY31" s="210"/>
      <c r="DZ31" s="210"/>
      <c r="EA31" s="210"/>
      <c r="EB31" s="210"/>
      <c r="EC31" s="210"/>
      <c r="ED31" s="210"/>
      <c r="EE31" s="211"/>
      <c r="EF31" s="235"/>
      <c r="EG31" s="236"/>
      <c r="EH31" s="236"/>
      <c r="EI31" s="237"/>
    </row>
    <row r="32" spans="1:139" ht="14.1" customHeight="1">
      <c r="A32" s="249"/>
      <c r="B32" s="254"/>
      <c r="C32" s="259"/>
      <c r="D32" s="260"/>
      <c r="E32" s="260"/>
      <c r="F32" s="260"/>
      <c r="G32" s="260"/>
      <c r="H32" s="260"/>
      <c r="I32" s="260"/>
      <c r="J32" s="260"/>
      <c r="K32" s="260"/>
      <c r="L32" s="260"/>
      <c r="M32" s="260"/>
      <c r="N32" s="260"/>
      <c r="O32" s="261"/>
      <c r="P32" s="259"/>
      <c r="Q32" s="260"/>
      <c r="R32" s="260"/>
      <c r="S32" s="260"/>
      <c r="T32" s="260"/>
      <c r="U32" s="260"/>
      <c r="V32" s="260"/>
      <c r="W32" s="260"/>
      <c r="X32" s="260"/>
      <c r="Y32" s="260"/>
      <c r="Z32" s="260"/>
      <c r="AA32" s="260"/>
      <c r="AB32" s="260"/>
      <c r="AC32" s="260"/>
      <c r="AD32" s="260"/>
      <c r="AE32" s="261"/>
      <c r="AF32" s="732"/>
      <c r="AG32" s="733"/>
      <c r="AH32" s="733"/>
      <c r="AI32" s="733"/>
      <c r="AJ32" s="733"/>
      <c r="AK32" s="733"/>
      <c r="AL32" s="733"/>
      <c r="AM32" s="733"/>
      <c r="AN32" s="733"/>
      <c r="AO32" s="733"/>
      <c r="AP32" s="733"/>
      <c r="AQ32" s="733"/>
      <c r="AR32" s="733"/>
      <c r="AS32" s="733"/>
      <c r="AT32" s="733"/>
      <c r="AU32" s="733"/>
      <c r="AV32" s="733"/>
      <c r="AW32" s="733"/>
      <c r="AX32" s="733"/>
      <c r="AY32" s="734"/>
      <c r="AZ32" s="204"/>
      <c r="BA32" s="204"/>
      <c r="BB32" s="205"/>
      <c r="BC32" s="279"/>
      <c r="BD32" s="280"/>
      <c r="BE32" s="281"/>
      <c r="BF32" s="227"/>
      <c r="BG32" s="227"/>
      <c r="BH32" s="228"/>
      <c r="BI32" s="149" t="s">
        <v>47</v>
      </c>
      <c r="BJ32" s="150"/>
      <c r="BK32" s="163"/>
      <c r="BL32" s="20"/>
      <c r="BM32" s="20"/>
      <c r="BN32" s="20"/>
      <c r="BO32" s="20"/>
      <c r="BP32" s="20"/>
      <c r="BQ32" s="20"/>
      <c r="BR32" s="20"/>
      <c r="BS32" s="20"/>
      <c r="BT32" s="20"/>
      <c r="BU32" s="20"/>
      <c r="BV32" s="20"/>
      <c r="BW32" s="20"/>
      <c r="BX32" s="209"/>
      <c r="BY32" s="210"/>
      <c r="BZ32" s="210"/>
      <c r="CA32" s="210"/>
      <c r="CB32" s="210"/>
      <c r="CC32" s="210"/>
      <c r="CD32" s="210"/>
      <c r="CE32" s="216"/>
      <c r="CF32" s="226"/>
      <c r="CG32" s="227"/>
      <c r="CH32" s="228"/>
      <c r="CI32" s="209"/>
      <c r="CJ32" s="210"/>
      <c r="CK32" s="210"/>
      <c r="CL32" s="210"/>
      <c r="CM32" s="210"/>
      <c r="CN32" s="210"/>
      <c r="CO32" s="210"/>
      <c r="CP32" s="211"/>
      <c r="CQ32" s="235"/>
      <c r="CR32" s="236"/>
      <c r="CS32" s="236"/>
      <c r="CT32" s="237"/>
      <c r="CU32" s="226"/>
      <c r="CV32" s="227"/>
      <c r="CW32" s="228"/>
      <c r="CX32" s="149" t="s">
        <v>47</v>
      </c>
      <c r="CY32" s="150"/>
      <c r="CZ32" s="163"/>
      <c r="DA32" s="20"/>
      <c r="DB32" s="20"/>
      <c r="DC32" s="20"/>
      <c r="DD32" s="20"/>
      <c r="DE32" s="20"/>
      <c r="DF32" s="20"/>
      <c r="DG32" s="20"/>
      <c r="DH32" s="20"/>
      <c r="DI32" s="20"/>
      <c r="DJ32" s="20"/>
      <c r="DK32" s="20"/>
      <c r="DL32" s="20"/>
      <c r="DM32" s="209"/>
      <c r="DN32" s="210"/>
      <c r="DO32" s="210"/>
      <c r="DP32" s="210"/>
      <c r="DQ32" s="210"/>
      <c r="DR32" s="210"/>
      <c r="DS32" s="210"/>
      <c r="DT32" s="216"/>
      <c r="DU32" s="226"/>
      <c r="DV32" s="227"/>
      <c r="DW32" s="228"/>
      <c r="DX32" s="209"/>
      <c r="DY32" s="210"/>
      <c r="DZ32" s="210"/>
      <c r="EA32" s="210"/>
      <c r="EB32" s="210"/>
      <c r="EC32" s="210"/>
      <c r="ED32" s="210"/>
      <c r="EE32" s="211"/>
      <c r="EF32" s="235"/>
      <c r="EG32" s="236"/>
      <c r="EH32" s="236"/>
      <c r="EI32" s="237"/>
    </row>
    <row r="33" spans="1:139" ht="14.1" customHeight="1">
      <c r="A33" s="249"/>
      <c r="B33" s="254"/>
      <c r="C33" s="259"/>
      <c r="D33" s="260"/>
      <c r="E33" s="260"/>
      <c r="F33" s="260"/>
      <c r="G33" s="260"/>
      <c r="H33" s="260"/>
      <c r="I33" s="260"/>
      <c r="J33" s="260"/>
      <c r="K33" s="260"/>
      <c r="L33" s="260"/>
      <c r="M33" s="260"/>
      <c r="N33" s="260"/>
      <c r="O33" s="261"/>
      <c r="P33" s="259"/>
      <c r="Q33" s="260"/>
      <c r="R33" s="260"/>
      <c r="S33" s="260"/>
      <c r="T33" s="260"/>
      <c r="U33" s="260"/>
      <c r="V33" s="260"/>
      <c r="W33" s="260"/>
      <c r="X33" s="260"/>
      <c r="Y33" s="260"/>
      <c r="Z33" s="260"/>
      <c r="AA33" s="260"/>
      <c r="AB33" s="260"/>
      <c r="AC33" s="260"/>
      <c r="AD33" s="260"/>
      <c r="AE33" s="261"/>
      <c r="AF33" s="732"/>
      <c r="AG33" s="733"/>
      <c r="AH33" s="733"/>
      <c r="AI33" s="733"/>
      <c r="AJ33" s="733"/>
      <c r="AK33" s="733"/>
      <c r="AL33" s="733"/>
      <c r="AM33" s="733"/>
      <c r="AN33" s="733"/>
      <c r="AO33" s="733"/>
      <c r="AP33" s="733"/>
      <c r="AQ33" s="733"/>
      <c r="AR33" s="733"/>
      <c r="AS33" s="733"/>
      <c r="AT33" s="733"/>
      <c r="AU33" s="733"/>
      <c r="AV33" s="733"/>
      <c r="AW33" s="733"/>
      <c r="AX33" s="733"/>
      <c r="AY33" s="734"/>
      <c r="AZ33" s="204"/>
      <c r="BA33" s="204"/>
      <c r="BB33" s="205"/>
      <c r="BC33" s="279"/>
      <c r="BD33" s="280"/>
      <c r="BE33" s="281"/>
      <c r="BF33" s="227"/>
      <c r="BG33" s="227"/>
      <c r="BH33" s="228"/>
      <c r="BI33" s="151"/>
      <c r="BJ33" s="150"/>
      <c r="BK33" s="20"/>
      <c r="BL33" s="20"/>
      <c r="BM33" s="20"/>
      <c r="BN33" s="20"/>
      <c r="BO33" s="20"/>
      <c r="BP33" s="20"/>
      <c r="BQ33" s="20"/>
      <c r="BR33" s="20"/>
      <c r="BS33" s="20"/>
      <c r="BT33" s="20"/>
      <c r="BU33" s="20"/>
      <c r="BV33" s="20"/>
      <c r="BW33" s="20"/>
      <c r="BX33" s="209"/>
      <c r="BY33" s="210"/>
      <c r="BZ33" s="210"/>
      <c r="CA33" s="210"/>
      <c r="CB33" s="210"/>
      <c r="CC33" s="210"/>
      <c r="CD33" s="210"/>
      <c r="CE33" s="216"/>
      <c r="CF33" s="226"/>
      <c r="CG33" s="227"/>
      <c r="CH33" s="228"/>
      <c r="CI33" s="209"/>
      <c r="CJ33" s="210"/>
      <c r="CK33" s="210"/>
      <c r="CL33" s="210"/>
      <c r="CM33" s="210"/>
      <c r="CN33" s="210"/>
      <c r="CO33" s="210"/>
      <c r="CP33" s="211"/>
      <c r="CQ33" s="235"/>
      <c r="CR33" s="236"/>
      <c r="CS33" s="236"/>
      <c r="CT33" s="237"/>
      <c r="CU33" s="226"/>
      <c r="CV33" s="227"/>
      <c r="CW33" s="228"/>
      <c r="CX33" s="151"/>
      <c r="CY33" s="150"/>
      <c r="CZ33" s="20"/>
      <c r="DA33" s="20"/>
      <c r="DB33" s="20"/>
      <c r="DC33" s="20"/>
      <c r="DD33" s="20"/>
      <c r="DE33" s="20"/>
      <c r="DF33" s="20"/>
      <c r="DG33" s="20"/>
      <c r="DH33" s="20"/>
      <c r="DI33" s="20"/>
      <c r="DJ33" s="20"/>
      <c r="DK33" s="20"/>
      <c r="DL33" s="20"/>
      <c r="DM33" s="209"/>
      <c r="DN33" s="210"/>
      <c r="DO33" s="210"/>
      <c r="DP33" s="210"/>
      <c r="DQ33" s="210"/>
      <c r="DR33" s="210"/>
      <c r="DS33" s="210"/>
      <c r="DT33" s="216"/>
      <c r="DU33" s="226"/>
      <c r="DV33" s="227"/>
      <c r="DW33" s="228"/>
      <c r="DX33" s="209"/>
      <c r="DY33" s="210"/>
      <c r="DZ33" s="210"/>
      <c r="EA33" s="210"/>
      <c r="EB33" s="210"/>
      <c r="EC33" s="210"/>
      <c r="ED33" s="210"/>
      <c r="EE33" s="211"/>
      <c r="EF33" s="235"/>
      <c r="EG33" s="236"/>
      <c r="EH33" s="236"/>
      <c r="EI33" s="237"/>
    </row>
    <row r="34" spans="1:139" ht="14.1" customHeight="1">
      <c r="A34" s="251"/>
      <c r="B34" s="255"/>
      <c r="C34" s="262"/>
      <c r="D34" s="263"/>
      <c r="E34" s="263"/>
      <c r="F34" s="263"/>
      <c r="G34" s="263"/>
      <c r="H34" s="263"/>
      <c r="I34" s="263"/>
      <c r="J34" s="263"/>
      <c r="K34" s="263"/>
      <c r="L34" s="263"/>
      <c r="M34" s="263"/>
      <c r="N34" s="263"/>
      <c r="O34" s="264"/>
      <c r="P34" s="262"/>
      <c r="Q34" s="263"/>
      <c r="R34" s="263"/>
      <c r="S34" s="263"/>
      <c r="T34" s="263"/>
      <c r="U34" s="263"/>
      <c r="V34" s="263"/>
      <c r="W34" s="263"/>
      <c r="X34" s="263"/>
      <c r="Y34" s="263"/>
      <c r="Z34" s="263"/>
      <c r="AA34" s="263"/>
      <c r="AB34" s="263"/>
      <c r="AC34" s="263"/>
      <c r="AD34" s="263"/>
      <c r="AE34" s="264"/>
      <c r="AF34" s="735"/>
      <c r="AG34" s="736"/>
      <c r="AH34" s="736"/>
      <c r="AI34" s="736"/>
      <c r="AJ34" s="736"/>
      <c r="AK34" s="736"/>
      <c r="AL34" s="736"/>
      <c r="AM34" s="736"/>
      <c r="AN34" s="736"/>
      <c r="AO34" s="736"/>
      <c r="AP34" s="736"/>
      <c r="AQ34" s="736"/>
      <c r="AR34" s="736"/>
      <c r="AS34" s="736"/>
      <c r="AT34" s="736"/>
      <c r="AU34" s="736"/>
      <c r="AV34" s="736"/>
      <c r="AW34" s="736"/>
      <c r="AX34" s="736"/>
      <c r="AY34" s="737"/>
      <c r="AZ34" s="204"/>
      <c r="BA34" s="204"/>
      <c r="BB34" s="205"/>
      <c r="BC34" s="282"/>
      <c r="BD34" s="283"/>
      <c r="BE34" s="284"/>
      <c r="BF34" s="230"/>
      <c r="BG34" s="230"/>
      <c r="BH34" s="231"/>
      <c r="BI34" s="218"/>
      <c r="BJ34" s="219"/>
      <c r="BK34" s="152"/>
      <c r="BL34" s="152"/>
      <c r="BM34" s="152"/>
      <c r="BN34" s="152"/>
      <c r="BO34" s="152"/>
      <c r="BP34" s="152"/>
      <c r="BQ34" s="152"/>
      <c r="BR34" s="152"/>
      <c r="BS34" s="152"/>
      <c r="BT34" s="152"/>
      <c r="BU34" s="152"/>
      <c r="BV34" s="152"/>
      <c r="BW34" s="153"/>
      <c r="BX34" s="212"/>
      <c r="BY34" s="213"/>
      <c r="BZ34" s="213"/>
      <c r="CA34" s="213"/>
      <c r="CB34" s="213"/>
      <c r="CC34" s="213"/>
      <c r="CD34" s="213"/>
      <c r="CE34" s="217"/>
      <c r="CF34" s="229"/>
      <c r="CG34" s="230"/>
      <c r="CH34" s="231"/>
      <c r="CI34" s="212"/>
      <c r="CJ34" s="213"/>
      <c r="CK34" s="213"/>
      <c r="CL34" s="213"/>
      <c r="CM34" s="213"/>
      <c r="CN34" s="213"/>
      <c r="CO34" s="213"/>
      <c r="CP34" s="214"/>
      <c r="CQ34" s="238"/>
      <c r="CR34" s="239"/>
      <c r="CS34" s="239"/>
      <c r="CT34" s="240"/>
      <c r="CU34" s="229"/>
      <c r="CV34" s="230"/>
      <c r="CW34" s="231"/>
      <c r="CX34" s="218"/>
      <c r="CY34" s="219"/>
      <c r="CZ34" s="152"/>
      <c r="DA34" s="152"/>
      <c r="DB34" s="152"/>
      <c r="DC34" s="152"/>
      <c r="DD34" s="152"/>
      <c r="DE34" s="152"/>
      <c r="DF34" s="152"/>
      <c r="DG34" s="152"/>
      <c r="DH34" s="152"/>
      <c r="DI34" s="152"/>
      <c r="DJ34" s="152"/>
      <c r="DK34" s="152"/>
      <c r="DL34" s="153"/>
      <c r="DM34" s="212"/>
      <c r="DN34" s="213"/>
      <c r="DO34" s="213"/>
      <c r="DP34" s="213"/>
      <c r="DQ34" s="213"/>
      <c r="DR34" s="213"/>
      <c r="DS34" s="213"/>
      <c r="DT34" s="217"/>
      <c r="DU34" s="229"/>
      <c r="DV34" s="230"/>
      <c r="DW34" s="231"/>
      <c r="DX34" s="212"/>
      <c r="DY34" s="213"/>
      <c r="DZ34" s="213"/>
      <c r="EA34" s="213"/>
      <c r="EB34" s="213"/>
      <c r="EC34" s="213"/>
      <c r="ED34" s="213"/>
      <c r="EE34" s="214"/>
      <c r="EF34" s="238"/>
      <c r="EG34" s="239"/>
      <c r="EH34" s="239"/>
      <c r="EI34" s="240"/>
    </row>
    <row r="35" spans="1:139" ht="14.1" customHeight="1">
      <c r="A35" s="247">
        <v>4</v>
      </c>
      <c r="B35" s="253"/>
      <c r="C35" s="256" t="s">
        <v>392</v>
      </c>
      <c r="D35" s="257"/>
      <c r="E35" s="257"/>
      <c r="F35" s="257"/>
      <c r="G35" s="257"/>
      <c r="H35" s="257"/>
      <c r="I35" s="257"/>
      <c r="J35" s="257"/>
      <c r="K35" s="257"/>
      <c r="L35" s="257"/>
      <c r="M35" s="257"/>
      <c r="N35" s="257"/>
      <c r="O35" s="258"/>
      <c r="P35" s="256" t="s">
        <v>412</v>
      </c>
      <c r="Q35" s="257"/>
      <c r="R35" s="257"/>
      <c r="S35" s="257"/>
      <c r="T35" s="257"/>
      <c r="U35" s="257"/>
      <c r="V35" s="257"/>
      <c r="W35" s="257"/>
      <c r="X35" s="257"/>
      <c r="Y35" s="257"/>
      <c r="Z35" s="257"/>
      <c r="AA35" s="257"/>
      <c r="AB35" s="257"/>
      <c r="AC35" s="257"/>
      <c r="AD35" s="257"/>
      <c r="AE35" s="258"/>
      <c r="AF35" s="738" t="s">
        <v>418</v>
      </c>
      <c r="AG35" s="739"/>
      <c r="AH35" s="739"/>
      <c r="AI35" s="739"/>
      <c r="AJ35" s="739"/>
      <c r="AK35" s="739"/>
      <c r="AL35" s="739"/>
      <c r="AM35" s="739"/>
      <c r="AN35" s="739"/>
      <c r="AO35" s="739"/>
      <c r="AP35" s="739"/>
      <c r="AQ35" s="739"/>
      <c r="AR35" s="739"/>
      <c r="AS35" s="739"/>
      <c r="AT35" s="739"/>
      <c r="AU35" s="739"/>
      <c r="AV35" s="739"/>
      <c r="AW35" s="739"/>
      <c r="AX35" s="739"/>
      <c r="AY35" s="740"/>
      <c r="AZ35" s="204" t="s">
        <v>391</v>
      </c>
      <c r="BA35" s="204"/>
      <c r="BB35" s="205"/>
      <c r="BC35" s="276">
        <f>IF(AZ35="","0",VLOOKUP(AZ35,設定!$G$26:$H$28,2,FALSE))</f>
        <v>1</v>
      </c>
      <c r="BD35" s="277"/>
      <c r="BE35" s="278"/>
      <c r="BF35" s="224">
        <v>25</v>
      </c>
      <c r="BG35" s="224"/>
      <c r="BH35" s="225"/>
      <c r="BI35" s="148" t="s">
        <v>45</v>
      </c>
      <c r="BJ35" s="20"/>
      <c r="BK35" s="163" t="s">
        <v>407</v>
      </c>
      <c r="BL35" s="20"/>
      <c r="BM35" s="20"/>
      <c r="BN35" s="20"/>
      <c r="BO35" s="20"/>
      <c r="BP35" s="20"/>
      <c r="BQ35" s="20"/>
      <c r="BR35" s="20"/>
      <c r="BS35" s="20"/>
      <c r="BT35" s="20"/>
      <c r="BU35" s="20"/>
      <c r="BV35" s="20"/>
      <c r="BW35" s="20"/>
      <c r="BX35" s="206"/>
      <c r="BY35" s="207"/>
      <c r="BZ35" s="207"/>
      <c r="CA35" s="207"/>
      <c r="CB35" s="207"/>
      <c r="CC35" s="207"/>
      <c r="CD35" s="207"/>
      <c r="CE35" s="215"/>
      <c r="CF35" s="223"/>
      <c r="CG35" s="224"/>
      <c r="CH35" s="225"/>
      <c r="CI35" s="206"/>
      <c r="CJ35" s="207"/>
      <c r="CK35" s="207"/>
      <c r="CL35" s="207"/>
      <c r="CM35" s="207"/>
      <c r="CN35" s="207"/>
      <c r="CO35" s="207"/>
      <c r="CP35" s="208"/>
      <c r="CQ35" s="232" t="str">
        <f>IF(BF35*CF35*BC35=0,"",BF35*CF35*BC35)</f>
        <v/>
      </c>
      <c r="CR35" s="233"/>
      <c r="CS35" s="233"/>
      <c r="CT35" s="234"/>
      <c r="CU35" s="223">
        <v>25</v>
      </c>
      <c r="CV35" s="224"/>
      <c r="CW35" s="225"/>
      <c r="CX35" s="148" t="s">
        <v>45</v>
      </c>
      <c r="CY35" s="20"/>
      <c r="CZ35" s="163" t="s">
        <v>413</v>
      </c>
      <c r="DA35" s="20"/>
      <c r="DB35" s="20"/>
      <c r="DC35" s="20"/>
      <c r="DD35" s="20"/>
      <c r="DE35" s="20"/>
      <c r="DF35" s="20"/>
      <c r="DG35" s="20"/>
      <c r="DH35" s="20"/>
      <c r="DI35" s="20"/>
      <c r="DJ35" s="20"/>
      <c r="DK35" s="20"/>
      <c r="DL35" s="20"/>
      <c r="DM35" s="206"/>
      <c r="DN35" s="207"/>
      <c r="DO35" s="207"/>
      <c r="DP35" s="207"/>
      <c r="DQ35" s="207"/>
      <c r="DR35" s="207"/>
      <c r="DS35" s="207"/>
      <c r="DT35" s="215"/>
      <c r="DU35" s="223"/>
      <c r="DV35" s="224"/>
      <c r="DW35" s="225"/>
      <c r="DX35" s="206"/>
      <c r="DY35" s="207"/>
      <c r="DZ35" s="207"/>
      <c r="EA35" s="207"/>
      <c r="EB35" s="207"/>
      <c r="EC35" s="207"/>
      <c r="ED35" s="207"/>
      <c r="EE35" s="208"/>
      <c r="EF35" s="232" t="str">
        <f>IF(CU35*DU35*BC35=0,"",CU35*DU35*BC35)</f>
        <v/>
      </c>
      <c r="EG35" s="233"/>
      <c r="EH35" s="233"/>
      <c r="EI35" s="234"/>
    </row>
    <row r="36" spans="1:139" ht="14.1" customHeight="1">
      <c r="A36" s="249"/>
      <c r="B36" s="254"/>
      <c r="C36" s="259"/>
      <c r="D36" s="260"/>
      <c r="E36" s="260"/>
      <c r="F36" s="260"/>
      <c r="G36" s="260"/>
      <c r="H36" s="260"/>
      <c r="I36" s="260"/>
      <c r="J36" s="260"/>
      <c r="K36" s="260"/>
      <c r="L36" s="260"/>
      <c r="M36" s="260"/>
      <c r="N36" s="260"/>
      <c r="O36" s="261"/>
      <c r="P36" s="259"/>
      <c r="Q36" s="260"/>
      <c r="R36" s="260"/>
      <c r="S36" s="260"/>
      <c r="T36" s="260"/>
      <c r="U36" s="260"/>
      <c r="V36" s="260"/>
      <c r="W36" s="260"/>
      <c r="X36" s="260"/>
      <c r="Y36" s="260"/>
      <c r="Z36" s="260"/>
      <c r="AA36" s="260"/>
      <c r="AB36" s="260"/>
      <c r="AC36" s="260"/>
      <c r="AD36" s="260"/>
      <c r="AE36" s="261"/>
      <c r="AF36" s="732"/>
      <c r="AG36" s="733"/>
      <c r="AH36" s="733"/>
      <c r="AI36" s="733"/>
      <c r="AJ36" s="733"/>
      <c r="AK36" s="733"/>
      <c r="AL36" s="733"/>
      <c r="AM36" s="733"/>
      <c r="AN36" s="733"/>
      <c r="AO36" s="733"/>
      <c r="AP36" s="733"/>
      <c r="AQ36" s="733"/>
      <c r="AR36" s="733"/>
      <c r="AS36" s="733"/>
      <c r="AT36" s="733"/>
      <c r="AU36" s="733"/>
      <c r="AV36" s="733"/>
      <c r="AW36" s="733"/>
      <c r="AX36" s="733"/>
      <c r="AY36" s="734"/>
      <c r="AZ36" s="204"/>
      <c r="BA36" s="204"/>
      <c r="BB36" s="205"/>
      <c r="BC36" s="279"/>
      <c r="BD36" s="280"/>
      <c r="BE36" s="281"/>
      <c r="BF36" s="227"/>
      <c r="BG36" s="227"/>
      <c r="BH36" s="228"/>
      <c r="BI36" s="149" t="s">
        <v>394</v>
      </c>
      <c r="BJ36" s="150"/>
      <c r="BK36" s="163" t="s">
        <v>408</v>
      </c>
      <c r="BL36" s="20"/>
      <c r="BM36" s="20"/>
      <c r="BN36" s="20"/>
      <c r="BO36" s="20"/>
      <c r="BP36" s="20"/>
      <c r="BQ36" s="20"/>
      <c r="BR36" s="20"/>
      <c r="BS36" s="20"/>
      <c r="BT36" s="20"/>
      <c r="BU36" s="20"/>
      <c r="BV36" s="20"/>
      <c r="BW36" s="20"/>
      <c r="BX36" s="209"/>
      <c r="BY36" s="210"/>
      <c r="BZ36" s="210"/>
      <c r="CA36" s="210"/>
      <c r="CB36" s="210"/>
      <c r="CC36" s="210"/>
      <c r="CD36" s="210"/>
      <c r="CE36" s="216"/>
      <c r="CF36" s="226"/>
      <c r="CG36" s="227"/>
      <c r="CH36" s="228"/>
      <c r="CI36" s="209"/>
      <c r="CJ36" s="210"/>
      <c r="CK36" s="210"/>
      <c r="CL36" s="210"/>
      <c r="CM36" s="210"/>
      <c r="CN36" s="210"/>
      <c r="CO36" s="210"/>
      <c r="CP36" s="211"/>
      <c r="CQ36" s="235"/>
      <c r="CR36" s="236"/>
      <c r="CS36" s="236"/>
      <c r="CT36" s="237"/>
      <c r="CU36" s="226"/>
      <c r="CV36" s="227"/>
      <c r="CW36" s="228"/>
      <c r="CX36" s="149" t="s">
        <v>394</v>
      </c>
      <c r="CY36" s="150"/>
      <c r="CZ36" s="163" t="s">
        <v>414</v>
      </c>
      <c r="DA36" s="20"/>
      <c r="DB36" s="20"/>
      <c r="DC36" s="20"/>
      <c r="DD36" s="20"/>
      <c r="DE36" s="20"/>
      <c r="DF36" s="20"/>
      <c r="DG36" s="20"/>
      <c r="DH36" s="20"/>
      <c r="DI36" s="20"/>
      <c r="DJ36" s="20"/>
      <c r="DK36" s="20"/>
      <c r="DL36" s="20"/>
      <c r="DM36" s="209"/>
      <c r="DN36" s="210"/>
      <c r="DO36" s="210"/>
      <c r="DP36" s="210"/>
      <c r="DQ36" s="210"/>
      <c r="DR36" s="210"/>
      <c r="DS36" s="210"/>
      <c r="DT36" s="216"/>
      <c r="DU36" s="226"/>
      <c r="DV36" s="227"/>
      <c r="DW36" s="228"/>
      <c r="DX36" s="209"/>
      <c r="DY36" s="210"/>
      <c r="DZ36" s="210"/>
      <c r="EA36" s="210"/>
      <c r="EB36" s="210"/>
      <c r="EC36" s="210"/>
      <c r="ED36" s="210"/>
      <c r="EE36" s="211"/>
      <c r="EF36" s="235"/>
      <c r="EG36" s="236"/>
      <c r="EH36" s="236"/>
      <c r="EI36" s="237"/>
    </row>
    <row r="37" spans="1:139" ht="14.1" customHeight="1">
      <c r="A37" s="249"/>
      <c r="B37" s="254"/>
      <c r="C37" s="259"/>
      <c r="D37" s="260"/>
      <c r="E37" s="260"/>
      <c r="F37" s="260"/>
      <c r="G37" s="260"/>
      <c r="H37" s="260"/>
      <c r="I37" s="260"/>
      <c r="J37" s="260"/>
      <c r="K37" s="260"/>
      <c r="L37" s="260"/>
      <c r="M37" s="260"/>
      <c r="N37" s="260"/>
      <c r="O37" s="261"/>
      <c r="P37" s="259"/>
      <c r="Q37" s="260"/>
      <c r="R37" s="260"/>
      <c r="S37" s="260"/>
      <c r="T37" s="260"/>
      <c r="U37" s="260"/>
      <c r="V37" s="260"/>
      <c r="W37" s="260"/>
      <c r="X37" s="260"/>
      <c r="Y37" s="260"/>
      <c r="Z37" s="260"/>
      <c r="AA37" s="260"/>
      <c r="AB37" s="260"/>
      <c r="AC37" s="260"/>
      <c r="AD37" s="260"/>
      <c r="AE37" s="261"/>
      <c r="AF37" s="732"/>
      <c r="AG37" s="733"/>
      <c r="AH37" s="733"/>
      <c r="AI37" s="733"/>
      <c r="AJ37" s="733"/>
      <c r="AK37" s="733"/>
      <c r="AL37" s="733"/>
      <c r="AM37" s="733"/>
      <c r="AN37" s="733"/>
      <c r="AO37" s="733"/>
      <c r="AP37" s="733"/>
      <c r="AQ37" s="733"/>
      <c r="AR37" s="733"/>
      <c r="AS37" s="733"/>
      <c r="AT37" s="733"/>
      <c r="AU37" s="733"/>
      <c r="AV37" s="733"/>
      <c r="AW37" s="733"/>
      <c r="AX37" s="733"/>
      <c r="AY37" s="734"/>
      <c r="AZ37" s="204"/>
      <c r="BA37" s="204"/>
      <c r="BB37" s="205"/>
      <c r="BC37" s="279"/>
      <c r="BD37" s="280"/>
      <c r="BE37" s="281"/>
      <c r="BF37" s="227"/>
      <c r="BG37" s="227"/>
      <c r="BH37" s="228"/>
      <c r="BI37" s="149" t="s">
        <v>46</v>
      </c>
      <c r="BJ37" s="150"/>
      <c r="BK37" s="163" t="s">
        <v>409</v>
      </c>
      <c r="BL37" s="20"/>
      <c r="BM37" s="20"/>
      <c r="BN37" s="20"/>
      <c r="BO37" s="20"/>
      <c r="BP37" s="20"/>
      <c r="BQ37" s="20"/>
      <c r="BR37" s="20"/>
      <c r="BS37" s="20"/>
      <c r="BT37" s="20"/>
      <c r="BU37" s="20"/>
      <c r="BV37" s="20"/>
      <c r="BW37" s="20"/>
      <c r="BX37" s="209"/>
      <c r="BY37" s="210"/>
      <c r="BZ37" s="210"/>
      <c r="CA37" s="210"/>
      <c r="CB37" s="210"/>
      <c r="CC37" s="210"/>
      <c r="CD37" s="210"/>
      <c r="CE37" s="216"/>
      <c r="CF37" s="226"/>
      <c r="CG37" s="227"/>
      <c r="CH37" s="228"/>
      <c r="CI37" s="209"/>
      <c r="CJ37" s="210"/>
      <c r="CK37" s="210"/>
      <c r="CL37" s="210"/>
      <c r="CM37" s="210"/>
      <c r="CN37" s="210"/>
      <c r="CO37" s="210"/>
      <c r="CP37" s="211"/>
      <c r="CQ37" s="235"/>
      <c r="CR37" s="236"/>
      <c r="CS37" s="236"/>
      <c r="CT37" s="237"/>
      <c r="CU37" s="226"/>
      <c r="CV37" s="227"/>
      <c r="CW37" s="228"/>
      <c r="CX37" s="149" t="s">
        <v>46</v>
      </c>
      <c r="CY37" s="150"/>
      <c r="CZ37" s="163" t="s">
        <v>415</v>
      </c>
      <c r="DA37" s="20"/>
      <c r="DB37" s="20"/>
      <c r="DC37" s="20"/>
      <c r="DD37" s="20"/>
      <c r="DE37" s="20"/>
      <c r="DF37" s="20"/>
      <c r="DG37" s="20"/>
      <c r="DH37" s="20"/>
      <c r="DI37" s="20"/>
      <c r="DJ37" s="20"/>
      <c r="DK37" s="20"/>
      <c r="DL37" s="20"/>
      <c r="DM37" s="209"/>
      <c r="DN37" s="210"/>
      <c r="DO37" s="210"/>
      <c r="DP37" s="210"/>
      <c r="DQ37" s="210"/>
      <c r="DR37" s="210"/>
      <c r="DS37" s="210"/>
      <c r="DT37" s="216"/>
      <c r="DU37" s="226"/>
      <c r="DV37" s="227"/>
      <c r="DW37" s="228"/>
      <c r="DX37" s="209"/>
      <c r="DY37" s="210"/>
      <c r="DZ37" s="210"/>
      <c r="EA37" s="210"/>
      <c r="EB37" s="210"/>
      <c r="EC37" s="210"/>
      <c r="ED37" s="210"/>
      <c r="EE37" s="211"/>
      <c r="EF37" s="235"/>
      <c r="EG37" s="236"/>
      <c r="EH37" s="236"/>
      <c r="EI37" s="237"/>
    </row>
    <row r="38" spans="1:139" ht="14.1" customHeight="1">
      <c r="A38" s="249"/>
      <c r="B38" s="254"/>
      <c r="C38" s="259"/>
      <c r="D38" s="260"/>
      <c r="E38" s="260"/>
      <c r="F38" s="260"/>
      <c r="G38" s="260"/>
      <c r="H38" s="260"/>
      <c r="I38" s="260"/>
      <c r="J38" s="260"/>
      <c r="K38" s="260"/>
      <c r="L38" s="260"/>
      <c r="M38" s="260"/>
      <c r="N38" s="260"/>
      <c r="O38" s="261"/>
      <c r="P38" s="259"/>
      <c r="Q38" s="260"/>
      <c r="R38" s="260"/>
      <c r="S38" s="260"/>
      <c r="T38" s="260"/>
      <c r="U38" s="260"/>
      <c r="V38" s="260"/>
      <c r="W38" s="260"/>
      <c r="X38" s="260"/>
      <c r="Y38" s="260"/>
      <c r="Z38" s="260"/>
      <c r="AA38" s="260"/>
      <c r="AB38" s="260"/>
      <c r="AC38" s="260"/>
      <c r="AD38" s="260"/>
      <c r="AE38" s="261"/>
      <c r="AF38" s="732"/>
      <c r="AG38" s="733"/>
      <c r="AH38" s="733"/>
      <c r="AI38" s="733"/>
      <c r="AJ38" s="733"/>
      <c r="AK38" s="733"/>
      <c r="AL38" s="733"/>
      <c r="AM38" s="733"/>
      <c r="AN38" s="733"/>
      <c r="AO38" s="733"/>
      <c r="AP38" s="733"/>
      <c r="AQ38" s="733"/>
      <c r="AR38" s="733"/>
      <c r="AS38" s="733"/>
      <c r="AT38" s="733"/>
      <c r="AU38" s="733"/>
      <c r="AV38" s="733"/>
      <c r="AW38" s="733"/>
      <c r="AX38" s="733"/>
      <c r="AY38" s="734"/>
      <c r="AZ38" s="204"/>
      <c r="BA38" s="204"/>
      <c r="BB38" s="205"/>
      <c r="BC38" s="279"/>
      <c r="BD38" s="280"/>
      <c r="BE38" s="281"/>
      <c r="BF38" s="227"/>
      <c r="BG38" s="227"/>
      <c r="BH38" s="228"/>
      <c r="BI38" s="149" t="s">
        <v>393</v>
      </c>
      <c r="BJ38" s="150"/>
      <c r="BK38" s="163" t="s">
        <v>410</v>
      </c>
      <c r="BL38" s="20"/>
      <c r="BM38" s="20"/>
      <c r="BN38" s="20"/>
      <c r="BO38" s="20"/>
      <c r="BP38" s="20"/>
      <c r="BQ38" s="20"/>
      <c r="BR38" s="20"/>
      <c r="BS38" s="20"/>
      <c r="BT38" s="20"/>
      <c r="BU38" s="20"/>
      <c r="BV38" s="20"/>
      <c r="BW38" s="20"/>
      <c r="BX38" s="209"/>
      <c r="BY38" s="210"/>
      <c r="BZ38" s="210"/>
      <c r="CA38" s="210"/>
      <c r="CB38" s="210"/>
      <c r="CC38" s="210"/>
      <c r="CD38" s="210"/>
      <c r="CE38" s="216"/>
      <c r="CF38" s="226"/>
      <c r="CG38" s="227"/>
      <c r="CH38" s="228"/>
      <c r="CI38" s="209"/>
      <c r="CJ38" s="210"/>
      <c r="CK38" s="210"/>
      <c r="CL38" s="210"/>
      <c r="CM38" s="210"/>
      <c r="CN38" s="210"/>
      <c r="CO38" s="210"/>
      <c r="CP38" s="211"/>
      <c r="CQ38" s="235"/>
      <c r="CR38" s="236"/>
      <c r="CS38" s="236"/>
      <c r="CT38" s="237"/>
      <c r="CU38" s="226"/>
      <c r="CV38" s="227"/>
      <c r="CW38" s="228"/>
      <c r="CX38" s="149" t="s">
        <v>393</v>
      </c>
      <c r="CY38" s="150"/>
      <c r="CZ38" s="163" t="s">
        <v>416</v>
      </c>
      <c r="DA38" s="20"/>
      <c r="DB38" s="20"/>
      <c r="DC38" s="20"/>
      <c r="DD38" s="20"/>
      <c r="DE38" s="20"/>
      <c r="DF38" s="20"/>
      <c r="DG38" s="20"/>
      <c r="DH38" s="20"/>
      <c r="DI38" s="20"/>
      <c r="DJ38" s="20"/>
      <c r="DK38" s="20"/>
      <c r="DL38" s="20"/>
      <c r="DM38" s="209"/>
      <c r="DN38" s="210"/>
      <c r="DO38" s="210"/>
      <c r="DP38" s="210"/>
      <c r="DQ38" s="210"/>
      <c r="DR38" s="210"/>
      <c r="DS38" s="210"/>
      <c r="DT38" s="216"/>
      <c r="DU38" s="226"/>
      <c r="DV38" s="227"/>
      <c r="DW38" s="228"/>
      <c r="DX38" s="209"/>
      <c r="DY38" s="210"/>
      <c r="DZ38" s="210"/>
      <c r="EA38" s="210"/>
      <c r="EB38" s="210"/>
      <c r="EC38" s="210"/>
      <c r="ED38" s="210"/>
      <c r="EE38" s="211"/>
      <c r="EF38" s="235"/>
      <c r="EG38" s="236"/>
      <c r="EH38" s="236"/>
      <c r="EI38" s="237"/>
    </row>
    <row r="39" spans="1:139" ht="14.1" customHeight="1">
      <c r="A39" s="249"/>
      <c r="B39" s="254"/>
      <c r="C39" s="259"/>
      <c r="D39" s="260"/>
      <c r="E39" s="260"/>
      <c r="F39" s="260"/>
      <c r="G39" s="260"/>
      <c r="H39" s="260"/>
      <c r="I39" s="260"/>
      <c r="J39" s="260"/>
      <c r="K39" s="260"/>
      <c r="L39" s="260"/>
      <c r="M39" s="260"/>
      <c r="N39" s="260"/>
      <c r="O39" s="261"/>
      <c r="P39" s="259"/>
      <c r="Q39" s="260"/>
      <c r="R39" s="260"/>
      <c r="S39" s="260"/>
      <c r="T39" s="260"/>
      <c r="U39" s="260"/>
      <c r="V39" s="260"/>
      <c r="W39" s="260"/>
      <c r="X39" s="260"/>
      <c r="Y39" s="260"/>
      <c r="Z39" s="260"/>
      <c r="AA39" s="260"/>
      <c r="AB39" s="260"/>
      <c r="AC39" s="260"/>
      <c r="AD39" s="260"/>
      <c r="AE39" s="261"/>
      <c r="AF39" s="732"/>
      <c r="AG39" s="733"/>
      <c r="AH39" s="733"/>
      <c r="AI39" s="733"/>
      <c r="AJ39" s="733"/>
      <c r="AK39" s="733"/>
      <c r="AL39" s="733"/>
      <c r="AM39" s="733"/>
      <c r="AN39" s="733"/>
      <c r="AO39" s="733"/>
      <c r="AP39" s="733"/>
      <c r="AQ39" s="733"/>
      <c r="AR39" s="733"/>
      <c r="AS39" s="733"/>
      <c r="AT39" s="733"/>
      <c r="AU39" s="733"/>
      <c r="AV39" s="733"/>
      <c r="AW39" s="733"/>
      <c r="AX39" s="733"/>
      <c r="AY39" s="734"/>
      <c r="AZ39" s="204"/>
      <c r="BA39" s="204"/>
      <c r="BB39" s="205"/>
      <c r="BC39" s="279"/>
      <c r="BD39" s="280"/>
      <c r="BE39" s="281"/>
      <c r="BF39" s="227"/>
      <c r="BG39" s="227"/>
      <c r="BH39" s="228"/>
      <c r="BI39" s="149" t="s">
        <v>47</v>
      </c>
      <c r="BJ39" s="150"/>
      <c r="BK39" s="163" t="s">
        <v>411</v>
      </c>
      <c r="BL39" s="20"/>
      <c r="BM39" s="20"/>
      <c r="BN39" s="20"/>
      <c r="BO39" s="20"/>
      <c r="BP39" s="20"/>
      <c r="BQ39" s="20"/>
      <c r="BR39" s="20"/>
      <c r="BS39" s="20"/>
      <c r="BT39" s="20"/>
      <c r="BU39" s="20"/>
      <c r="BV39" s="20"/>
      <c r="BW39" s="20"/>
      <c r="BX39" s="209"/>
      <c r="BY39" s="210"/>
      <c r="BZ39" s="210"/>
      <c r="CA39" s="210"/>
      <c r="CB39" s="210"/>
      <c r="CC39" s="210"/>
      <c r="CD39" s="210"/>
      <c r="CE39" s="216"/>
      <c r="CF39" s="226"/>
      <c r="CG39" s="227"/>
      <c r="CH39" s="228"/>
      <c r="CI39" s="209"/>
      <c r="CJ39" s="210"/>
      <c r="CK39" s="210"/>
      <c r="CL39" s="210"/>
      <c r="CM39" s="210"/>
      <c r="CN39" s="210"/>
      <c r="CO39" s="210"/>
      <c r="CP39" s="211"/>
      <c r="CQ39" s="235"/>
      <c r="CR39" s="236"/>
      <c r="CS39" s="236"/>
      <c r="CT39" s="237"/>
      <c r="CU39" s="226"/>
      <c r="CV39" s="227"/>
      <c r="CW39" s="228"/>
      <c r="CX39" s="149" t="s">
        <v>47</v>
      </c>
      <c r="CY39" s="150"/>
      <c r="CZ39" s="163"/>
      <c r="DA39" s="20"/>
      <c r="DB39" s="20"/>
      <c r="DC39" s="20"/>
      <c r="DD39" s="20"/>
      <c r="DE39" s="20"/>
      <c r="DF39" s="20"/>
      <c r="DG39" s="20"/>
      <c r="DH39" s="20"/>
      <c r="DI39" s="20"/>
      <c r="DJ39" s="20"/>
      <c r="DK39" s="20"/>
      <c r="DL39" s="20"/>
      <c r="DM39" s="209"/>
      <c r="DN39" s="210"/>
      <c r="DO39" s="210"/>
      <c r="DP39" s="210"/>
      <c r="DQ39" s="210"/>
      <c r="DR39" s="210"/>
      <c r="DS39" s="210"/>
      <c r="DT39" s="216"/>
      <c r="DU39" s="226"/>
      <c r="DV39" s="227"/>
      <c r="DW39" s="228"/>
      <c r="DX39" s="209"/>
      <c r="DY39" s="210"/>
      <c r="DZ39" s="210"/>
      <c r="EA39" s="210"/>
      <c r="EB39" s="210"/>
      <c r="EC39" s="210"/>
      <c r="ED39" s="210"/>
      <c r="EE39" s="211"/>
      <c r="EF39" s="235"/>
      <c r="EG39" s="236"/>
      <c r="EH39" s="236"/>
      <c r="EI39" s="237"/>
    </row>
    <row r="40" spans="1:139" ht="14.1" customHeight="1">
      <c r="A40" s="249"/>
      <c r="B40" s="254"/>
      <c r="C40" s="259"/>
      <c r="D40" s="260"/>
      <c r="E40" s="260"/>
      <c r="F40" s="260"/>
      <c r="G40" s="260"/>
      <c r="H40" s="260"/>
      <c r="I40" s="260"/>
      <c r="J40" s="260"/>
      <c r="K40" s="260"/>
      <c r="L40" s="260"/>
      <c r="M40" s="260"/>
      <c r="N40" s="260"/>
      <c r="O40" s="261"/>
      <c r="P40" s="259"/>
      <c r="Q40" s="260"/>
      <c r="R40" s="260"/>
      <c r="S40" s="260"/>
      <c r="T40" s="260"/>
      <c r="U40" s="260"/>
      <c r="V40" s="260"/>
      <c r="W40" s="260"/>
      <c r="X40" s="260"/>
      <c r="Y40" s="260"/>
      <c r="Z40" s="260"/>
      <c r="AA40" s="260"/>
      <c r="AB40" s="260"/>
      <c r="AC40" s="260"/>
      <c r="AD40" s="260"/>
      <c r="AE40" s="261"/>
      <c r="AF40" s="732"/>
      <c r="AG40" s="733"/>
      <c r="AH40" s="733"/>
      <c r="AI40" s="733"/>
      <c r="AJ40" s="733"/>
      <c r="AK40" s="733"/>
      <c r="AL40" s="733"/>
      <c r="AM40" s="733"/>
      <c r="AN40" s="733"/>
      <c r="AO40" s="733"/>
      <c r="AP40" s="733"/>
      <c r="AQ40" s="733"/>
      <c r="AR40" s="733"/>
      <c r="AS40" s="733"/>
      <c r="AT40" s="733"/>
      <c r="AU40" s="733"/>
      <c r="AV40" s="733"/>
      <c r="AW40" s="733"/>
      <c r="AX40" s="733"/>
      <c r="AY40" s="734"/>
      <c r="AZ40" s="204"/>
      <c r="BA40" s="204"/>
      <c r="BB40" s="205"/>
      <c r="BC40" s="279"/>
      <c r="BD40" s="280"/>
      <c r="BE40" s="281"/>
      <c r="BF40" s="227"/>
      <c r="BG40" s="227"/>
      <c r="BH40" s="228"/>
      <c r="BI40" s="151"/>
      <c r="BJ40" s="150"/>
      <c r="BK40" s="20"/>
      <c r="BL40" s="20"/>
      <c r="BM40" s="20"/>
      <c r="BN40" s="20"/>
      <c r="BO40" s="20"/>
      <c r="BP40" s="20"/>
      <c r="BQ40" s="20"/>
      <c r="BR40" s="20"/>
      <c r="BS40" s="20"/>
      <c r="BT40" s="20"/>
      <c r="BU40" s="20"/>
      <c r="BV40" s="20"/>
      <c r="BW40" s="20"/>
      <c r="BX40" s="209"/>
      <c r="BY40" s="210"/>
      <c r="BZ40" s="210"/>
      <c r="CA40" s="210"/>
      <c r="CB40" s="210"/>
      <c r="CC40" s="210"/>
      <c r="CD40" s="210"/>
      <c r="CE40" s="216"/>
      <c r="CF40" s="226"/>
      <c r="CG40" s="227"/>
      <c r="CH40" s="228"/>
      <c r="CI40" s="209"/>
      <c r="CJ40" s="210"/>
      <c r="CK40" s="210"/>
      <c r="CL40" s="210"/>
      <c r="CM40" s="210"/>
      <c r="CN40" s="210"/>
      <c r="CO40" s="210"/>
      <c r="CP40" s="211"/>
      <c r="CQ40" s="235"/>
      <c r="CR40" s="236"/>
      <c r="CS40" s="236"/>
      <c r="CT40" s="237"/>
      <c r="CU40" s="226"/>
      <c r="CV40" s="227"/>
      <c r="CW40" s="228"/>
      <c r="CX40" s="151"/>
      <c r="CY40" s="150"/>
      <c r="CZ40" s="20"/>
      <c r="DA40" s="20"/>
      <c r="DB40" s="20"/>
      <c r="DC40" s="20"/>
      <c r="DD40" s="20"/>
      <c r="DE40" s="20"/>
      <c r="DF40" s="20"/>
      <c r="DG40" s="20"/>
      <c r="DH40" s="20"/>
      <c r="DI40" s="20"/>
      <c r="DJ40" s="20"/>
      <c r="DK40" s="20"/>
      <c r="DL40" s="20"/>
      <c r="DM40" s="209"/>
      <c r="DN40" s="210"/>
      <c r="DO40" s="210"/>
      <c r="DP40" s="210"/>
      <c r="DQ40" s="210"/>
      <c r="DR40" s="210"/>
      <c r="DS40" s="210"/>
      <c r="DT40" s="216"/>
      <c r="DU40" s="226"/>
      <c r="DV40" s="227"/>
      <c r="DW40" s="228"/>
      <c r="DX40" s="209"/>
      <c r="DY40" s="210"/>
      <c r="DZ40" s="210"/>
      <c r="EA40" s="210"/>
      <c r="EB40" s="210"/>
      <c r="EC40" s="210"/>
      <c r="ED40" s="210"/>
      <c r="EE40" s="211"/>
      <c r="EF40" s="235"/>
      <c r="EG40" s="236"/>
      <c r="EH40" s="236"/>
      <c r="EI40" s="237"/>
    </row>
    <row r="41" spans="1:139" ht="14.1" customHeight="1">
      <c r="A41" s="251"/>
      <c r="B41" s="255"/>
      <c r="C41" s="262"/>
      <c r="D41" s="263"/>
      <c r="E41" s="263"/>
      <c r="F41" s="263"/>
      <c r="G41" s="263"/>
      <c r="H41" s="263"/>
      <c r="I41" s="263"/>
      <c r="J41" s="263"/>
      <c r="K41" s="263"/>
      <c r="L41" s="263"/>
      <c r="M41" s="263"/>
      <c r="N41" s="263"/>
      <c r="O41" s="264"/>
      <c r="P41" s="262"/>
      <c r="Q41" s="263"/>
      <c r="R41" s="263"/>
      <c r="S41" s="263"/>
      <c r="T41" s="263"/>
      <c r="U41" s="263"/>
      <c r="V41" s="263"/>
      <c r="W41" s="263"/>
      <c r="X41" s="263"/>
      <c r="Y41" s="263"/>
      <c r="Z41" s="263"/>
      <c r="AA41" s="263"/>
      <c r="AB41" s="263"/>
      <c r="AC41" s="263"/>
      <c r="AD41" s="263"/>
      <c r="AE41" s="264"/>
      <c r="AF41" s="735"/>
      <c r="AG41" s="736"/>
      <c r="AH41" s="736"/>
      <c r="AI41" s="736"/>
      <c r="AJ41" s="736"/>
      <c r="AK41" s="736"/>
      <c r="AL41" s="736"/>
      <c r="AM41" s="736"/>
      <c r="AN41" s="736"/>
      <c r="AO41" s="736"/>
      <c r="AP41" s="736"/>
      <c r="AQ41" s="736"/>
      <c r="AR41" s="736"/>
      <c r="AS41" s="736"/>
      <c r="AT41" s="736"/>
      <c r="AU41" s="736"/>
      <c r="AV41" s="736"/>
      <c r="AW41" s="736"/>
      <c r="AX41" s="736"/>
      <c r="AY41" s="737"/>
      <c r="AZ41" s="204"/>
      <c r="BA41" s="204"/>
      <c r="BB41" s="205"/>
      <c r="BC41" s="282"/>
      <c r="BD41" s="283"/>
      <c r="BE41" s="284"/>
      <c r="BF41" s="230"/>
      <c r="BG41" s="230"/>
      <c r="BH41" s="231"/>
      <c r="BI41" s="218"/>
      <c r="BJ41" s="219"/>
      <c r="BK41" s="152"/>
      <c r="BL41" s="152"/>
      <c r="BM41" s="152"/>
      <c r="BN41" s="152"/>
      <c r="BO41" s="152"/>
      <c r="BP41" s="152"/>
      <c r="BQ41" s="152"/>
      <c r="BR41" s="152"/>
      <c r="BS41" s="152"/>
      <c r="BT41" s="152"/>
      <c r="BU41" s="152"/>
      <c r="BV41" s="152"/>
      <c r="BW41" s="153"/>
      <c r="BX41" s="212"/>
      <c r="BY41" s="213"/>
      <c r="BZ41" s="213"/>
      <c r="CA41" s="213"/>
      <c r="CB41" s="213"/>
      <c r="CC41" s="213"/>
      <c r="CD41" s="213"/>
      <c r="CE41" s="217"/>
      <c r="CF41" s="229"/>
      <c r="CG41" s="230"/>
      <c r="CH41" s="231"/>
      <c r="CI41" s="212"/>
      <c r="CJ41" s="213"/>
      <c r="CK41" s="213"/>
      <c r="CL41" s="213"/>
      <c r="CM41" s="213"/>
      <c r="CN41" s="213"/>
      <c r="CO41" s="213"/>
      <c r="CP41" s="214"/>
      <c r="CQ41" s="238"/>
      <c r="CR41" s="239"/>
      <c r="CS41" s="239"/>
      <c r="CT41" s="240"/>
      <c r="CU41" s="229"/>
      <c r="CV41" s="230"/>
      <c r="CW41" s="231"/>
      <c r="CX41" s="218"/>
      <c r="CY41" s="219"/>
      <c r="CZ41" s="152"/>
      <c r="DA41" s="152"/>
      <c r="DB41" s="152"/>
      <c r="DC41" s="152"/>
      <c r="DD41" s="152"/>
      <c r="DE41" s="152"/>
      <c r="DF41" s="152"/>
      <c r="DG41" s="152"/>
      <c r="DH41" s="152"/>
      <c r="DI41" s="152"/>
      <c r="DJ41" s="152"/>
      <c r="DK41" s="152"/>
      <c r="DL41" s="153"/>
      <c r="DM41" s="212"/>
      <c r="DN41" s="213"/>
      <c r="DO41" s="213"/>
      <c r="DP41" s="213"/>
      <c r="DQ41" s="213"/>
      <c r="DR41" s="213"/>
      <c r="DS41" s="213"/>
      <c r="DT41" s="217"/>
      <c r="DU41" s="229"/>
      <c r="DV41" s="230"/>
      <c r="DW41" s="231"/>
      <c r="DX41" s="212"/>
      <c r="DY41" s="213"/>
      <c r="DZ41" s="213"/>
      <c r="EA41" s="213"/>
      <c r="EB41" s="213"/>
      <c r="EC41" s="213"/>
      <c r="ED41" s="213"/>
      <c r="EE41" s="214"/>
      <c r="EF41" s="238"/>
      <c r="EG41" s="239"/>
      <c r="EH41" s="239"/>
      <c r="EI41" s="240"/>
    </row>
    <row r="42" spans="1:139" ht="14.1" customHeight="1">
      <c r="A42" s="247">
        <v>5</v>
      </c>
      <c r="B42" s="253"/>
      <c r="C42" s="256"/>
      <c r="D42" s="257"/>
      <c r="E42" s="257"/>
      <c r="F42" s="257"/>
      <c r="G42" s="257"/>
      <c r="H42" s="257"/>
      <c r="I42" s="257"/>
      <c r="J42" s="257"/>
      <c r="K42" s="257"/>
      <c r="L42" s="257"/>
      <c r="M42" s="257"/>
      <c r="N42" s="257"/>
      <c r="O42" s="258"/>
      <c r="P42" s="256"/>
      <c r="Q42" s="257"/>
      <c r="R42" s="257"/>
      <c r="S42" s="257"/>
      <c r="T42" s="257"/>
      <c r="U42" s="257"/>
      <c r="V42" s="257"/>
      <c r="W42" s="257"/>
      <c r="X42" s="257"/>
      <c r="Y42" s="257"/>
      <c r="Z42" s="257"/>
      <c r="AA42" s="257"/>
      <c r="AB42" s="257"/>
      <c r="AC42" s="257"/>
      <c r="AD42" s="257"/>
      <c r="AE42" s="258"/>
      <c r="AF42" s="256"/>
      <c r="AG42" s="257"/>
      <c r="AH42" s="257"/>
      <c r="AI42" s="257"/>
      <c r="AJ42" s="257"/>
      <c r="AK42" s="257"/>
      <c r="AL42" s="257"/>
      <c r="AM42" s="257"/>
      <c r="AN42" s="257"/>
      <c r="AO42" s="257"/>
      <c r="AP42" s="257"/>
      <c r="AQ42" s="257"/>
      <c r="AR42" s="257"/>
      <c r="AS42" s="257"/>
      <c r="AT42" s="257"/>
      <c r="AU42" s="257"/>
      <c r="AV42" s="257"/>
      <c r="AW42" s="257"/>
      <c r="AX42" s="257"/>
      <c r="AY42" s="258"/>
      <c r="AZ42" s="204"/>
      <c r="BA42" s="204"/>
      <c r="BB42" s="205"/>
      <c r="BC42" s="276" t="str">
        <f>IF(AZ42="","0",VLOOKUP(AZ42,設定!$G$26:$H$28,2,FALSE))</f>
        <v>0</v>
      </c>
      <c r="BD42" s="277"/>
      <c r="BE42" s="278"/>
      <c r="BF42" s="224"/>
      <c r="BG42" s="224"/>
      <c r="BH42" s="225"/>
      <c r="BI42" s="148" t="s">
        <v>45</v>
      </c>
      <c r="BJ42" s="20"/>
      <c r="BK42" s="20"/>
      <c r="BL42" s="20"/>
      <c r="BM42" s="20"/>
      <c r="BN42" s="20"/>
      <c r="BO42" s="20"/>
      <c r="BP42" s="20"/>
      <c r="BQ42" s="20"/>
      <c r="BR42" s="20"/>
      <c r="BS42" s="20"/>
      <c r="BT42" s="20"/>
      <c r="BU42" s="20"/>
      <c r="BV42" s="20"/>
      <c r="BW42" s="20"/>
      <c r="BX42" s="206"/>
      <c r="BY42" s="207"/>
      <c r="BZ42" s="207"/>
      <c r="CA42" s="207"/>
      <c r="CB42" s="207"/>
      <c r="CC42" s="207"/>
      <c r="CD42" s="207"/>
      <c r="CE42" s="215"/>
      <c r="CF42" s="223"/>
      <c r="CG42" s="224"/>
      <c r="CH42" s="225"/>
      <c r="CI42" s="206"/>
      <c r="CJ42" s="207"/>
      <c r="CK42" s="207"/>
      <c r="CL42" s="207"/>
      <c r="CM42" s="207"/>
      <c r="CN42" s="207"/>
      <c r="CO42" s="207"/>
      <c r="CP42" s="208"/>
      <c r="CQ42" s="232" t="str">
        <f>IF(BF42*CF42*BC42=0,"",BF42*CF42*BC42)</f>
        <v/>
      </c>
      <c r="CR42" s="233"/>
      <c r="CS42" s="233"/>
      <c r="CT42" s="234"/>
      <c r="CU42" s="223"/>
      <c r="CV42" s="224"/>
      <c r="CW42" s="225"/>
      <c r="CX42" s="148" t="s">
        <v>45</v>
      </c>
      <c r="CY42" s="20"/>
      <c r="CZ42" s="20"/>
      <c r="DA42" s="20"/>
      <c r="DB42" s="20"/>
      <c r="DC42" s="20"/>
      <c r="DD42" s="20"/>
      <c r="DE42" s="20"/>
      <c r="DF42" s="20"/>
      <c r="DG42" s="20"/>
      <c r="DH42" s="20"/>
      <c r="DI42" s="20"/>
      <c r="DJ42" s="20"/>
      <c r="DK42" s="20"/>
      <c r="DL42" s="20"/>
      <c r="DM42" s="206"/>
      <c r="DN42" s="207"/>
      <c r="DO42" s="207"/>
      <c r="DP42" s="207"/>
      <c r="DQ42" s="207"/>
      <c r="DR42" s="207"/>
      <c r="DS42" s="207"/>
      <c r="DT42" s="215"/>
      <c r="DU42" s="223"/>
      <c r="DV42" s="224"/>
      <c r="DW42" s="225"/>
      <c r="DX42" s="206"/>
      <c r="DY42" s="207"/>
      <c r="DZ42" s="207"/>
      <c r="EA42" s="207"/>
      <c r="EB42" s="207"/>
      <c r="EC42" s="207"/>
      <c r="ED42" s="207"/>
      <c r="EE42" s="208"/>
      <c r="EF42" s="232" t="str">
        <f>IF(CU42*DU42*BC42=0,"",CU42*DU42*BC42)</f>
        <v/>
      </c>
      <c r="EG42" s="233"/>
      <c r="EH42" s="233"/>
      <c r="EI42" s="234"/>
    </row>
    <row r="43" spans="1:139" ht="14.1" customHeight="1">
      <c r="A43" s="249"/>
      <c r="B43" s="254"/>
      <c r="C43" s="259"/>
      <c r="D43" s="260"/>
      <c r="E43" s="260"/>
      <c r="F43" s="260"/>
      <c r="G43" s="260"/>
      <c r="H43" s="260"/>
      <c r="I43" s="260"/>
      <c r="J43" s="260"/>
      <c r="K43" s="260"/>
      <c r="L43" s="260"/>
      <c r="M43" s="260"/>
      <c r="N43" s="260"/>
      <c r="O43" s="261"/>
      <c r="P43" s="259"/>
      <c r="Q43" s="260"/>
      <c r="R43" s="260"/>
      <c r="S43" s="260"/>
      <c r="T43" s="260"/>
      <c r="U43" s="260"/>
      <c r="V43" s="260"/>
      <c r="W43" s="260"/>
      <c r="X43" s="260"/>
      <c r="Y43" s="260"/>
      <c r="Z43" s="260"/>
      <c r="AA43" s="260"/>
      <c r="AB43" s="260"/>
      <c r="AC43" s="260"/>
      <c r="AD43" s="260"/>
      <c r="AE43" s="261"/>
      <c r="AF43" s="259"/>
      <c r="AG43" s="260"/>
      <c r="AH43" s="260"/>
      <c r="AI43" s="260"/>
      <c r="AJ43" s="260"/>
      <c r="AK43" s="260"/>
      <c r="AL43" s="260"/>
      <c r="AM43" s="260"/>
      <c r="AN43" s="260"/>
      <c r="AO43" s="260"/>
      <c r="AP43" s="260"/>
      <c r="AQ43" s="260"/>
      <c r="AR43" s="260"/>
      <c r="AS43" s="260"/>
      <c r="AT43" s="260"/>
      <c r="AU43" s="260"/>
      <c r="AV43" s="260"/>
      <c r="AW43" s="260"/>
      <c r="AX43" s="260"/>
      <c r="AY43" s="261"/>
      <c r="AZ43" s="204"/>
      <c r="BA43" s="204"/>
      <c r="BB43" s="205"/>
      <c r="BC43" s="279"/>
      <c r="BD43" s="280"/>
      <c r="BE43" s="281"/>
      <c r="BF43" s="227"/>
      <c r="BG43" s="227"/>
      <c r="BH43" s="228"/>
      <c r="BI43" s="149"/>
      <c r="BJ43" s="150"/>
      <c r="BK43" s="20"/>
      <c r="BL43" s="20"/>
      <c r="BM43" s="20"/>
      <c r="BN43" s="20"/>
      <c r="BO43" s="20"/>
      <c r="BP43" s="20"/>
      <c r="BQ43" s="20"/>
      <c r="BR43" s="20"/>
      <c r="BS43" s="20"/>
      <c r="BT43" s="20"/>
      <c r="BU43" s="20"/>
      <c r="BV43" s="20"/>
      <c r="BW43" s="20"/>
      <c r="BX43" s="209"/>
      <c r="BY43" s="210"/>
      <c r="BZ43" s="210"/>
      <c r="CA43" s="210"/>
      <c r="CB43" s="210"/>
      <c r="CC43" s="210"/>
      <c r="CD43" s="210"/>
      <c r="CE43" s="216"/>
      <c r="CF43" s="226"/>
      <c r="CG43" s="227"/>
      <c r="CH43" s="228"/>
      <c r="CI43" s="209"/>
      <c r="CJ43" s="210"/>
      <c r="CK43" s="210"/>
      <c r="CL43" s="210"/>
      <c r="CM43" s="210"/>
      <c r="CN43" s="210"/>
      <c r="CO43" s="210"/>
      <c r="CP43" s="211"/>
      <c r="CQ43" s="235"/>
      <c r="CR43" s="236"/>
      <c r="CS43" s="236"/>
      <c r="CT43" s="237"/>
      <c r="CU43" s="226"/>
      <c r="CV43" s="227"/>
      <c r="CW43" s="228"/>
      <c r="CX43" s="149"/>
      <c r="CY43" s="150"/>
      <c r="CZ43" s="20"/>
      <c r="DA43" s="20"/>
      <c r="DB43" s="20"/>
      <c r="DC43" s="20"/>
      <c r="DD43" s="20"/>
      <c r="DE43" s="20"/>
      <c r="DF43" s="20"/>
      <c r="DG43" s="20"/>
      <c r="DH43" s="20"/>
      <c r="DI43" s="20"/>
      <c r="DJ43" s="20"/>
      <c r="DK43" s="20"/>
      <c r="DL43" s="20"/>
      <c r="DM43" s="209"/>
      <c r="DN43" s="210"/>
      <c r="DO43" s="210"/>
      <c r="DP43" s="210"/>
      <c r="DQ43" s="210"/>
      <c r="DR43" s="210"/>
      <c r="DS43" s="210"/>
      <c r="DT43" s="216"/>
      <c r="DU43" s="226"/>
      <c r="DV43" s="227"/>
      <c r="DW43" s="228"/>
      <c r="DX43" s="209"/>
      <c r="DY43" s="210"/>
      <c r="DZ43" s="210"/>
      <c r="EA43" s="210"/>
      <c r="EB43" s="210"/>
      <c r="EC43" s="210"/>
      <c r="ED43" s="210"/>
      <c r="EE43" s="211"/>
      <c r="EF43" s="235"/>
      <c r="EG43" s="236"/>
      <c r="EH43" s="236"/>
      <c r="EI43" s="237"/>
    </row>
    <row r="44" spans="1:139" ht="14.1" customHeight="1">
      <c r="A44" s="249"/>
      <c r="B44" s="254"/>
      <c r="C44" s="259"/>
      <c r="D44" s="260"/>
      <c r="E44" s="260"/>
      <c r="F44" s="260"/>
      <c r="G44" s="260"/>
      <c r="H44" s="260"/>
      <c r="I44" s="260"/>
      <c r="J44" s="260"/>
      <c r="K44" s="260"/>
      <c r="L44" s="260"/>
      <c r="M44" s="260"/>
      <c r="N44" s="260"/>
      <c r="O44" s="261"/>
      <c r="P44" s="259"/>
      <c r="Q44" s="260"/>
      <c r="R44" s="260"/>
      <c r="S44" s="260"/>
      <c r="T44" s="260"/>
      <c r="U44" s="260"/>
      <c r="V44" s="260"/>
      <c r="W44" s="260"/>
      <c r="X44" s="260"/>
      <c r="Y44" s="260"/>
      <c r="Z44" s="260"/>
      <c r="AA44" s="260"/>
      <c r="AB44" s="260"/>
      <c r="AC44" s="260"/>
      <c r="AD44" s="260"/>
      <c r="AE44" s="261"/>
      <c r="AF44" s="259"/>
      <c r="AG44" s="260"/>
      <c r="AH44" s="260"/>
      <c r="AI44" s="260"/>
      <c r="AJ44" s="260"/>
      <c r="AK44" s="260"/>
      <c r="AL44" s="260"/>
      <c r="AM44" s="260"/>
      <c r="AN44" s="260"/>
      <c r="AO44" s="260"/>
      <c r="AP44" s="260"/>
      <c r="AQ44" s="260"/>
      <c r="AR44" s="260"/>
      <c r="AS44" s="260"/>
      <c r="AT44" s="260"/>
      <c r="AU44" s="260"/>
      <c r="AV44" s="260"/>
      <c r="AW44" s="260"/>
      <c r="AX44" s="260"/>
      <c r="AY44" s="261"/>
      <c r="AZ44" s="204"/>
      <c r="BA44" s="204"/>
      <c r="BB44" s="205"/>
      <c r="BC44" s="279"/>
      <c r="BD44" s="280"/>
      <c r="BE44" s="281"/>
      <c r="BF44" s="227"/>
      <c r="BG44" s="227"/>
      <c r="BH44" s="228"/>
      <c r="BI44" s="149" t="s">
        <v>46</v>
      </c>
      <c r="BJ44" s="150"/>
      <c r="BK44" s="20"/>
      <c r="BL44" s="20"/>
      <c r="BM44" s="20"/>
      <c r="BN44" s="20"/>
      <c r="BO44" s="20"/>
      <c r="BP44" s="20"/>
      <c r="BQ44" s="20"/>
      <c r="BR44" s="20"/>
      <c r="BS44" s="20"/>
      <c r="BT44" s="20"/>
      <c r="BU44" s="20"/>
      <c r="BV44" s="20"/>
      <c r="BW44" s="20"/>
      <c r="BX44" s="209"/>
      <c r="BY44" s="210"/>
      <c r="BZ44" s="210"/>
      <c r="CA44" s="210"/>
      <c r="CB44" s="210"/>
      <c r="CC44" s="210"/>
      <c r="CD44" s="210"/>
      <c r="CE44" s="216"/>
      <c r="CF44" s="226"/>
      <c r="CG44" s="227"/>
      <c r="CH44" s="228"/>
      <c r="CI44" s="209"/>
      <c r="CJ44" s="210"/>
      <c r="CK44" s="210"/>
      <c r="CL44" s="210"/>
      <c r="CM44" s="210"/>
      <c r="CN44" s="210"/>
      <c r="CO44" s="210"/>
      <c r="CP44" s="211"/>
      <c r="CQ44" s="235"/>
      <c r="CR44" s="236"/>
      <c r="CS44" s="236"/>
      <c r="CT44" s="237"/>
      <c r="CU44" s="226"/>
      <c r="CV44" s="227"/>
      <c r="CW44" s="228"/>
      <c r="CX44" s="149" t="s">
        <v>46</v>
      </c>
      <c r="CY44" s="150"/>
      <c r="CZ44" s="20"/>
      <c r="DA44" s="20"/>
      <c r="DB44" s="20"/>
      <c r="DC44" s="20"/>
      <c r="DD44" s="20"/>
      <c r="DE44" s="20"/>
      <c r="DF44" s="20"/>
      <c r="DG44" s="20"/>
      <c r="DH44" s="20"/>
      <c r="DI44" s="20"/>
      <c r="DJ44" s="20"/>
      <c r="DK44" s="20"/>
      <c r="DL44" s="20"/>
      <c r="DM44" s="209"/>
      <c r="DN44" s="210"/>
      <c r="DO44" s="210"/>
      <c r="DP44" s="210"/>
      <c r="DQ44" s="210"/>
      <c r="DR44" s="210"/>
      <c r="DS44" s="210"/>
      <c r="DT44" s="216"/>
      <c r="DU44" s="226"/>
      <c r="DV44" s="227"/>
      <c r="DW44" s="228"/>
      <c r="DX44" s="209"/>
      <c r="DY44" s="210"/>
      <c r="DZ44" s="210"/>
      <c r="EA44" s="210"/>
      <c r="EB44" s="210"/>
      <c r="EC44" s="210"/>
      <c r="ED44" s="210"/>
      <c r="EE44" s="211"/>
      <c r="EF44" s="235"/>
      <c r="EG44" s="236"/>
      <c r="EH44" s="236"/>
      <c r="EI44" s="237"/>
    </row>
    <row r="45" spans="1:139" ht="14.1" customHeight="1">
      <c r="A45" s="249"/>
      <c r="B45" s="254"/>
      <c r="C45" s="259"/>
      <c r="D45" s="260"/>
      <c r="E45" s="260"/>
      <c r="F45" s="260"/>
      <c r="G45" s="260"/>
      <c r="H45" s="260"/>
      <c r="I45" s="260"/>
      <c r="J45" s="260"/>
      <c r="K45" s="260"/>
      <c r="L45" s="260"/>
      <c r="M45" s="260"/>
      <c r="N45" s="260"/>
      <c r="O45" s="261"/>
      <c r="P45" s="259"/>
      <c r="Q45" s="260"/>
      <c r="R45" s="260"/>
      <c r="S45" s="260"/>
      <c r="T45" s="260"/>
      <c r="U45" s="260"/>
      <c r="V45" s="260"/>
      <c r="W45" s="260"/>
      <c r="X45" s="260"/>
      <c r="Y45" s="260"/>
      <c r="Z45" s="260"/>
      <c r="AA45" s="260"/>
      <c r="AB45" s="260"/>
      <c r="AC45" s="260"/>
      <c r="AD45" s="260"/>
      <c r="AE45" s="261"/>
      <c r="AF45" s="259"/>
      <c r="AG45" s="260"/>
      <c r="AH45" s="260"/>
      <c r="AI45" s="260"/>
      <c r="AJ45" s="260"/>
      <c r="AK45" s="260"/>
      <c r="AL45" s="260"/>
      <c r="AM45" s="260"/>
      <c r="AN45" s="260"/>
      <c r="AO45" s="260"/>
      <c r="AP45" s="260"/>
      <c r="AQ45" s="260"/>
      <c r="AR45" s="260"/>
      <c r="AS45" s="260"/>
      <c r="AT45" s="260"/>
      <c r="AU45" s="260"/>
      <c r="AV45" s="260"/>
      <c r="AW45" s="260"/>
      <c r="AX45" s="260"/>
      <c r="AY45" s="261"/>
      <c r="AZ45" s="204"/>
      <c r="BA45" s="204"/>
      <c r="BB45" s="205"/>
      <c r="BC45" s="279"/>
      <c r="BD45" s="280"/>
      <c r="BE45" s="281"/>
      <c r="BF45" s="227"/>
      <c r="BG45" s="227"/>
      <c r="BH45" s="228"/>
      <c r="BI45" s="151"/>
      <c r="BJ45" s="150"/>
      <c r="BK45" s="20"/>
      <c r="BL45" s="20"/>
      <c r="BM45" s="20"/>
      <c r="BN45" s="20"/>
      <c r="BO45" s="20"/>
      <c r="BP45" s="20"/>
      <c r="BQ45" s="20"/>
      <c r="BR45" s="20"/>
      <c r="BS45" s="20"/>
      <c r="BT45" s="20"/>
      <c r="BU45" s="20"/>
      <c r="BV45" s="20"/>
      <c r="BW45" s="20"/>
      <c r="BX45" s="209"/>
      <c r="BY45" s="210"/>
      <c r="BZ45" s="210"/>
      <c r="CA45" s="210"/>
      <c r="CB45" s="210"/>
      <c r="CC45" s="210"/>
      <c r="CD45" s="210"/>
      <c r="CE45" s="216"/>
      <c r="CF45" s="226"/>
      <c r="CG45" s="227"/>
      <c r="CH45" s="228"/>
      <c r="CI45" s="209"/>
      <c r="CJ45" s="210"/>
      <c r="CK45" s="210"/>
      <c r="CL45" s="210"/>
      <c r="CM45" s="210"/>
      <c r="CN45" s="210"/>
      <c r="CO45" s="210"/>
      <c r="CP45" s="211"/>
      <c r="CQ45" s="235"/>
      <c r="CR45" s="236"/>
      <c r="CS45" s="236"/>
      <c r="CT45" s="237"/>
      <c r="CU45" s="226"/>
      <c r="CV45" s="227"/>
      <c r="CW45" s="228"/>
      <c r="CX45" s="151"/>
      <c r="CY45" s="150"/>
      <c r="CZ45" s="20"/>
      <c r="DA45" s="20"/>
      <c r="DB45" s="20"/>
      <c r="DC45" s="20"/>
      <c r="DD45" s="20"/>
      <c r="DE45" s="20"/>
      <c r="DF45" s="20"/>
      <c r="DG45" s="20"/>
      <c r="DH45" s="20"/>
      <c r="DI45" s="20"/>
      <c r="DJ45" s="20"/>
      <c r="DK45" s="20"/>
      <c r="DL45" s="20"/>
      <c r="DM45" s="209"/>
      <c r="DN45" s="210"/>
      <c r="DO45" s="210"/>
      <c r="DP45" s="210"/>
      <c r="DQ45" s="210"/>
      <c r="DR45" s="210"/>
      <c r="DS45" s="210"/>
      <c r="DT45" s="216"/>
      <c r="DU45" s="226"/>
      <c r="DV45" s="227"/>
      <c r="DW45" s="228"/>
      <c r="DX45" s="209"/>
      <c r="DY45" s="210"/>
      <c r="DZ45" s="210"/>
      <c r="EA45" s="210"/>
      <c r="EB45" s="210"/>
      <c r="EC45" s="210"/>
      <c r="ED45" s="210"/>
      <c r="EE45" s="211"/>
      <c r="EF45" s="235"/>
      <c r="EG45" s="236"/>
      <c r="EH45" s="236"/>
      <c r="EI45" s="237"/>
    </row>
    <row r="46" spans="1:139" ht="14.1" customHeight="1">
      <c r="A46" s="249"/>
      <c r="B46" s="254"/>
      <c r="C46" s="259"/>
      <c r="D46" s="260"/>
      <c r="E46" s="260"/>
      <c r="F46" s="260"/>
      <c r="G46" s="260"/>
      <c r="H46" s="260"/>
      <c r="I46" s="260"/>
      <c r="J46" s="260"/>
      <c r="K46" s="260"/>
      <c r="L46" s="260"/>
      <c r="M46" s="260"/>
      <c r="N46" s="260"/>
      <c r="O46" s="261"/>
      <c r="P46" s="259"/>
      <c r="Q46" s="260"/>
      <c r="R46" s="260"/>
      <c r="S46" s="260"/>
      <c r="T46" s="260"/>
      <c r="U46" s="260"/>
      <c r="V46" s="260"/>
      <c r="W46" s="260"/>
      <c r="X46" s="260"/>
      <c r="Y46" s="260"/>
      <c r="Z46" s="260"/>
      <c r="AA46" s="260"/>
      <c r="AB46" s="260"/>
      <c r="AC46" s="260"/>
      <c r="AD46" s="260"/>
      <c r="AE46" s="261"/>
      <c r="AF46" s="259"/>
      <c r="AG46" s="260"/>
      <c r="AH46" s="260"/>
      <c r="AI46" s="260"/>
      <c r="AJ46" s="260"/>
      <c r="AK46" s="260"/>
      <c r="AL46" s="260"/>
      <c r="AM46" s="260"/>
      <c r="AN46" s="260"/>
      <c r="AO46" s="260"/>
      <c r="AP46" s="260"/>
      <c r="AQ46" s="260"/>
      <c r="AR46" s="260"/>
      <c r="AS46" s="260"/>
      <c r="AT46" s="260"/>
      <c r="AU46" s="260"/>
      <c r="AV46" s="260"/>
      <c r="AW46" s="260"/>
      <c r="AX46" s="260"/>
      <c r="AY46" s="261"/>
      <c r="AZ46" s="204"/>
      <c r="BA46" s="204"/>
      <c r="BB46" s="205"/>
      <c r="BC46" s="279"/>
      <c r="BD46" s="280"/>
      <c r="BE46" s="281"/>
      <c r="BF46" s="227"/>
      <c r="BG46" s="227"/>
      <c r="BH46" s="228"/>
      <c r="BI46" s="149" t="s">
        <v>47</v>
      </c>
      <c r="BJ46" s="150"/>
      <c r="BK46" s="20"/>
      <c r="BL46" s="20"/>
      <c r="BM46" s="20"/>
      <c r="BN46" s="20"/>
      <c r="BO46" s="20"/>
      <c r="BP46" s="20"/>
      <c r="BQ46" s="20"/>
      <c r="BR46" s="20"/>
      <c r="BS46" s="20"/>
      <c r="BT46" s="20"/>
      <c r="BU46" s="20"/>
      <c r="BV46" s="20"/>
      <c r="BW46" s="20"/>
      <c r="BX46" s="209"/>
      <c r="BY46" s="210"/>
      <c r="BZ46" s="210"/>
      <c r="CA46" s="210"/>
      <c r="CB46" s="210"/>
      <c r="CC46" s="210"/>
      <c r="CD46" s="210"/>
      <c r="CE46" s="216"/>
      <c r="CF46" s="226"/>
      <c r="CG46" s="227"/>
      <c r="CH46" s="228"/>
      <c r="CI46" s="209"/>
      <c r="CJ46" s="210"/>
      <c r="CK46" s="210"/>
      <c r="CL46" s="210"/>
      <c r="CM46" s="210"/>
      <c r="CN46" s="210"/>
      <c r="CO46" s="210"/>
      <c r="CP46" s="211"/>
      <c r="CQ46" s="235"/>
      <c r="CR46" s="236"/>
      <c r="CS46" s="236"/>
      <c r="CT46" s="237"/>
      <c r="CU46" s="226"/>
      <c r="CV46" s="227"/>
      <c r="CW46" s="228"/>
      <c r="CX46" s="149" t="s">
        <v>47</v>
      </c>
      <c r="CY46" s="150"/>
      <c r="CZ46" s="20"/>
      <c r="DA46" s="20"/>
      <c r="DB46" s="20"/>
      <c r="DC46" s="20"/>
      <c r="DD46" s="20"/>
      <c r="DE46" s="20"/>
      <c r="DF46" s="20"/>
      <c r="DG46" s="20"/>
      <c r="DH46" s="20"/>
      <c r="DI46" s="20"/>
      <c r="DJ46" s="20"/>
      <c r="DK46" s="20"/>
      <c r="DL46" s="20"/>
      <c r="DM46" s="209"/>
      <c r="DN46" s="210"/>
      <c r="DO46" s="210"/>
      <c r="DP46" s="210"/>
      <c r="DQ46" s="210"/>
      <c r="DR46" s="210"/>
      <c r="DS46" s="210"/>
      <c r="DT46" s="216"/>
      <c r="DU46" s="226"/>
      <c r="DV46" s="227"/>
      <c r="DW46" s="228"/>
      <c r="DX46" s="209"/>
      <c r="DY46" s="210"/>
      <c r="DZ46" s="210"/>
      <c r="EA46" s="210"/>
      <c r="EB46" s="210"/>
      <c r="EC46" s="210"/>
      <c r="ED46" s="210"/>
      <c r="EE46" s="211"/>
      <c r="EF46" s="235"/>
      <c r="EG46" s="236"/>
      <c r="EH46" s="236"/>
      <c r="EI46" s="237"/>
    </row>
    <row r="47" spans="1:139" ht="14.1" customHeight="1">
      <c r="A47" s="249"/>
      <c r="B47" s="254"/>
      <c r="C47" s="259"/>
      <c r="D47" s="260"/>
      <c r="E47" s="260"/>
      <c r="F47" s="260"/>
      <c r="G47" s="260"/>
      <c r="H47" s="260"/>
      <c r="I47" s="260"/>
      <c r="J47" s="260"/>
      <c r="K47" s="260"/>
      <c r="L47" s="260"/>
      <c r="M47" s="260"/>
      <c r="N47" s="260"/>
      <c r="O47" s="261"/>
      <c r="P47" s="259"/>
      <c r="Q47" s="260"/>
      <c r="R47" s="260"/>
      <c r="S47" s="260"/>
      <c r="T47" s="260"/>
      <c r="U47" s="260"/>
      <c r="V47" s="260"/>
      <c r="W47" s="260"/>
      <c r="X47" s="260"/>
      <c r="Y47" s="260"/>
      <c r="Z47" s="260"/>
      <c r="AA47" s="260"/>
      <c r="AB47" s="260"/>
      <c r="AC47" s="260"/>
      <c r="AD47" s="260"/>
      <c r="AE47" s="261"/>
      <c r="AF47" s="259"/>
      <c r="AG47" s="260"/>
      <c r="AH47" s="260"/>
      <c r="AI47" s="260"/>
      <c r="AJ47" s="260"/>
      <c r="AK47" s="260"/>
      <c r="AL47" s="260"/>
      <c r="AM47" s="260"/>
      <c r="AN47" s="260"/>
      <c r="AO47" s="260"/>
      <c r="AP47" s="260"/>
      <c r="AQ47" s="260"/>
      <c r="AR47" s="260"/>
      <c r="AS47" s="260"/>
      <c r="AT47" s="260"/>
      <c r="AU47" s="260"/>
      <c r="AV47" s="260"/>
      <c r="AW47" s="260"/>
      <c r="AX47" s="260"/>
      <c r="AY47" s="261"/>
      <c r="AZ47" s="204"/>
      <c r="BA47" s="204"/>
      <c r="BB47" s="205"/>
      <c r="BC47" s="279"/>
      <c r="BD47" s="280"/>
      <c r="BE47" s="281"/>
      <c r="BF47" s="227"/>
      <c r="BG47" s="227"/>
      <c r="BH47" s="228"/>
      <c r="BI47" s="151"/>
      <c r="BJ47" s="150"/>
      <c r="BK47" s="20"/>
      <c r="BL47" s="20"/>
      <c r="BM47" s="20"/>
      <c r="BN47" s="20"/>
      <c r="BO47" s="20"/>
      <c r="BP47" s="20"/>
      <c r="BQ47" s="20"/>
      <c r="BR47" s="20"/>
      <c r="BS47" s="20"/>
      <c r="BT47" s="20"/>
      <c r="BU47" s="20"/>
      <c r="BV47" s="20"/>
      <c r="BW47" s="20"/>
      <c r="BX47" s="209"/>
      <c r="BY47" s="210"/>
      <c r="BZ47" s="210"/>
      <c r="CA47" s="210"/>
      <c r="CB47" s="210"/>
      <c r="CC47" s="210"/>
      <c r="CD47" s="210"/>
      <c r="CE47" s="216"/>
      <c r="CF47" s="226"/>
      <c r="CG47" s="227"/>
      <c r="CH47" s="228"/>
      <c r="CI47" s="209"/>
      <c r="CJ47" s="210"/>
      <c r="CK47" s="210"/>
      <c r="CL47" s="210"/>
      <c r="CM47" s="210"/>
      <c r="CN47" s="210"/>
      <c r="CO47" s="210"/>
      <c r="CP47" s="211"/>
      <c r="CQ47" s="235"/>
      <c r="CR47" s="236"/>
      <c r="CS47" s="236"/>
      <c r="CT47" s="237"/>
      <c r="CU47" s="226"/>
      <c r="CV47" s="227"/>
      <c r="CW47" s="228"/>
      <c r="CX47" s="151"/>
      <c r="CY47" s="150"/>
      <c r="CZ47" s="20"/>
      <c r="DA47" s="20"/>
      <c r="DB47" s="20"/>
      <c r="DC47" s="20"/>
      <c r="DD47" s="20"/>
      <c r="DE47" s="20"/>
      <c r="DF47" s="20"/>
      <c r="DG47" s="20"/>
      <c r="DH47" s="20"/>
      <c r="DI47" s="20"/>
      <c r="DJ47" s="20"/>
      <c r="DK47" s="20"/>
      <c r="DL47" s="20"/>
      <c r="DM47" s="209"/>
      <c r="DN47" s="210"/>
      <c r="DO47" s="210"/>
      <c r="DP47" s="210"/>
      <c r="DQ47" s="210"/>
      <c r="DR47" s="210"/>
      <c r="DS47" s="210"/>
      <c r="DT47" s="216"/>
      <c r="DU47" s="226"/>
      <c r="DV47" s="227"/>
      <c r="DW47" s="228"/>
      <c r="DX47" s="209"/>
      <c r="DY47" s="210"/>
      <c r="DZ47" s="210"/>
      <c r="EA47" s="210"/>
      <c r="EB47" s="210"/>
      <c r="EC47" s="210"/>
      <c r="ED47" s="210"/>
      <c r="EE47" s="211"/>
      <c r="EF47" s="235"/>
      <c r="EG47" s="236"/>
      <c r="EH47" s="236"/>
      <c r="EI47" s="237"/>
    </row>
    <row r="48" spans="1:139" ht="14.1" customHeight="1">
      <c r="A48" s="251"/>
      <c r="B48" s="255"/>
      <c r="C48" s="262"/>
      <c r="D48" s="263"/>
      <c r="E48" s="263"/>
      <c r="F48" s="263"/>
      <c r="G48" s="263"/>
      <c r="H48" s="263"/>
      <c r="I48" s="263"/>
      <c r="J48" s="263"/>
      <c r="K48" s="263"/>
      <c r="L48" s="263"/>
      <c r="M48" s="263"/>
      <c r="N48" s="263"/>
      <c r="O48" s="264"/>
      <c r="P48" s="262"/>
      <c r="Q48" s="263"/>
      <c r="R48" s="263"/>
      <c r="S48" s="263"/>
      <c r="T48" s="263"/>
      <c r="U48" s="263"/>
      <c r="V48" s="263"/>
      <c r="W48" s="263"/>
      <c r="X48" s="263"/>
      <c r="Y48" s="263"/>
      <c r="Z48" s="263"/>
      <c r="AA48" s="263"/>
      <c r="AB48" s="263"/>
      <c r="AC48" s="263"/>
      <c r="AD48" s="263"/>
      <c r="AE48" s="264"/>
      <c r="AF48" s="262"/>
      <c r="AG48" s="263"/>
      <c r="AH48" s="263"/>
      <c r="AI48" s="263"/>
      <c r="AJ48" s="263"/>
      <c r="AK48" s="263"/>
      <c r="AL48" s="263"/>
      <c r="AM48" s="263"/>
      <c r="AN48" s="263"/>
      <c r="AO48" s="263"/>
      <c r="AP48" s="263"/>
      <c r="AQ48" s="263"/>
      <c r="AR48" s="263"/>
      <c r="AS48" s="263"/>
      <c r="AT48" s="263"/>
      <c r="AU48" s="263"/>
      <c r="AV48" s="263"/>
      <c r="AW48" s="263"/>
      <c r="AX48" s="263"/>
      <c r="AY48" s="264"/>
      <c r="AZ48" s="204"/>
      <c r="BA48" s="204"/>
      <c r="BB48" s="205"/>
      <c r="BC48" s="282"/>
      <c r="BD48" s="283"/>
      <c r="BE48" s="284"/>
      <c r="BF48" s="230"/>
      <c r="BG48" s="230"/>
      <c r="BH48" s="231"/>
      <c r="BI48" s="218"/>
      <c r="BJ48" s="219"/>
      <c r="BK48" s="152"/>
      <c r="BL48" s="152"/>
      <c r="BM48" s="152"/>
      <c r="BN48" s="152"/>
      <c r="BO48" s="152"/>
      <c r="BP48" s="152"/>
      <c r="BQ48" s="152"/>
      <c r="BR48" s="152"/>
      <c r="BS48" s="152"/>
      <c r="BT48" s="152"/>
      <c r="BU48" s="152"/>
      <c r="BV48" s="152"/>
      <c r="BW48" s="153"/>
      <c r="BX48" s="212"/>
      <c r="BY48" s="213"/>
      <c r="BZ48" s="213"/>
      <c r="CA48" s="213"/>
      <c r="CB48" s="213"/>
      <c r="CC48" s="213"/>
      <c r="CD48" s="213"/>
      <c r="CE48" s="217"/>
      <c r="CF48" s="229"/>
      <c r="CG48" s="230"/>
      <c r="CH48" s="231"/>
      <c r="CI48" s="212"/>
      <c r="CJ48" s="213"/>
      <c r="CK48" s="213"/>
      <c r="CL48" s="213"/>
      <c r="CM48" s="213"/>
      <c r="CN48" s="213"/>
      <c r="CO48" s="213"/>
      <c r="CP48" s="214"/>
      <c r="CQ48" s="238"/>
      <c r="CR48" s="239"/>
      <c r="CS48" s="239"/>
      <c r="CT48" s="240"/>
      <c r="CU48" s="229"/>
      <c r="CV48" s="230"/>
      <c r="CW48" s="231"/>
      <c r="CX48" s="218"/>
      <c r="CY48" s="219"/>
      <c r="CZ48" s="152"/>
      <c r="DA48" s="152"/>
      <c r="DB48" s="152"/>
      <c r="DC48" s="152"/>
      <c r="DD48" s="152"/>
      <c r="DE48" s="152"/>
      <c r="DF48" s="152"/>
      <c r="DG48" s="152"/>
      <c r="DH48" s="152"/>
      <c r="DI48" s="152"/>
      <c r="DJ48" s="152"/>
      <c r="DK48" s="152"/>
      <c r="DL48" s="153"/>
      <c r="DM48" s="212"/>
      <c r="DN48" s="213"/>
      <c r="DO48" s="213"/>
      <c r="DP48" s="213"/>
      <c r="DQ48" s="213"/>
      <c r="DR48" s="213"/>
      <c r="DS48" s="213"/>
      <c r="DT48" s="217"/>
      <c r="DU48" s="229"/>
      <c r="DV48" s="230"/>
      <c r="DW48" s="231"/>
      <c r="DX48" s="212"/>
      <c r="DY48" s="213"/>
      <c r="DZ48" s="213"/>
      <c r="EA48" s="213"/>
      <c r="EB48" s="213"/>
      <c r="EC48" s="213"/>
      <c r="ED48" s="213"/>
      <c r="EE48" s="214"/>
      <c r="EF48" s="238"/>
      <c r="EG48" s="239"/>
      <c r="EH48" s="239"/>
      <c r="EI48" s="240"/>
    </row>
    <row r="49" spans="1:139" ht="14.1" customHeight="1">
      <c r="A49" s="249">
        <v>6</v>
      </c>
      <c r="B49" s="250"/>
      <c r="C49" s="259"/>
      <c r="D49" s="260"/>
      <c r="E49" s="260"/>
      <c r="F49" s="260"/>
      <c r="G49" s="260"/>
      <c r="H49" s="260"/>
      <c r="I49" s="260"/>
      <c r="J49" s="260"/>
      <c r="K49" s="260"/>
      <c r="L49" s="260"/>
      <c r="M49" s="260"/>
      <c r="N49" s="260"/>
      <c r="O49" s="261"/>
      <c r="P49" s="259"/>
      <c r="Q49" s="260"/>
      <c r="R49" s="260"/>
      <c r="S49" s="260"/>
      <c r="T49" s="260"/>
      <c r="U49" s="260"/>
      <c r="V49" s="260"/>
      <c r="W49" s="260"/>
      <c r="X49" s="260"/>
      <c r="Y49" s="260"/>
      <c r="Z49" s="260"/>
      <c r="AA49" s="260"/>
      <c r="AB49" s="260"/>
      <c r="AC49" s="260"/>
      <c r="AD49" s="260"/>
      <c r="AE49" s="261"/>
      <c r="AF49" s="259"/>
      <c r="AG49" s="260"/>
      <c r="AH49" s="260"/>
      <c r="AI49" s="260"/>
      <c r="AJ49" s="260"/>
      <c r="AK49" s="260"/>
      <c r="AL49" s="260"/>
      <c r="AM49" s="260"/>
      <c r="AN49" s="260"/>
      <c r="AO49" s="260"/>
      <c r="AP49" s="260"/>
      <c r="AQ49" s="260"/>
      <c r="AR49" s="260"/>
      <c r="AS49" s="260"/>
      <c r="AT49" s="260"/>
      <c r="AU49" s="260"/>
      <c r="AV49" s="260"/>
      <c r="AW49" s="260"/>
      <c r="AX49" s="260"/>
      <c r="AY49" s="261"/>
      <c r="AZ49" s="204"/>
      <c r="BA49" s="204"/>
      <c r="BB49" s="205"/>
      <c r="BC49" s="276" t="str">
        <f>IF(AZ49="","0",VLOOKUP(AZ49,設定!$G$26:$H$28,2,FALSE))</f>
        <v>0</v>
      </c>
      <c r="BD49" s="277"/>
      <c r="BE49" s="278"/>
      <c r="BF49" s="223"/>
      <c r="BG49" s="224"/>
      <c r="BH49" s="225"/>
      <c r="BI49" s="148" t="s">
        <v>45</v>
      </c>
      <c r="BJ49" s="20"/>
      <c r="BK49" s="20"/>
      <c r="BL49" s="20"/>
      <c r="BM49" s="20"/>
      <c r="BN49" s="20"/>
      <c r="BO49" s="20"/>
      <c r="BP49" s="20"/>
      <c r="BQ49" s="20"/>
      <c r="BR49" s="20"/>
      <c r="BS49" s="20"/>
      <c r="BT49" s="20"/>
      <c r="BU49" s="20"/>
      <c r="BV49" s="20"/>
      <c r="BW49" s="20"/>
      <c r="BX49" s="206"/>
      <c r="BY49" s="207"/>
      <c r="BZ49" s="207"/>
      <c r="CA49" s="207"/>
      <c r="CB49" s="207"/>
      <c r="CC49" s="207"/>
      <c r="CD49" s="207"/>
      <c r="CE49" s="215"/>
      <c r="CF49" s="223"/>
      <c r="CG49" s="224"/>
      <c r="CH49" s="225"/>
      <c r="CI49" s="206"/>
      <c r="CJ49" s="207"/>
      <c r="CK49" s="207"/>
      <c r="CL49" s="207"/>
      <c r="CM49" s="207"/>
      <c r="CN49" s="207"/>
      <c r="CO49" s="207"/>
      <c r="CP49" s="208"/>
      <c r="CQ49" s="232" t="str">
        <f>IF(BF49*CF49*BC49=0,"",BF49*CF49*BC49)</f>
        <v/>
      </c>
      <c r="CR49" s="233"/>
      <c r="CS49" s="233"/>
      <c r="CT49" s="234"/>
      <c r="CU49" s="223"/>
      <c r="CV49" s="224"/>
      <c r="CW49" s="225"/>
      <c r="CX49" s="148" t="s">
        <v>45</v>
      </c>
      <c r="CY49" s="20"/>
      <c r="CZ49" s="20"/>
      <c r="DA49" s="20"/>
      <c r="DB49" s="20"/>
      <c r="DC49" s="20"/>
      <c r="DD49" s="20"/>
      <c r="DE49" s="20"/>
      <c r="DF49" s="20"/>
      <c r="DG49" s="20"/>
      <c r="DH49" s="20"/>
      <c r="DI49" s="20"/>
      <c r="DJ49" s="20"/>
      <c r="DK49" s="20"/>
      <c r="DL49" s="20"/>
      <c r="DM49" s="206"/>
      <c r="DN49" s="207"/>
      <c r="DO49" s="207"/>
      <c r="DP49" s="207"/>
      <c r="DQ49" s="207"/>
      <c r="DR49" s="207"/>
      <c r="DS49" s="207"/>
      <c r="DT49" s="215"/>
      <c r="DU49" s="223"/>
      <c r="DV49" s="224"/>
      <c r="DW49" s="225"/>
      <c r="DX49" s="206"/>
      <c r="DY49" s="207"/>
      <c r="DZ49" s="207"/>
      <c r="EA49" s="207"/>
      <c r="EB49" s="207"/>
      <c r="EC49" s="207"/>
      <c r="ED49" s="207"/>
      <c r="EE49" s="208"/>
      <c r="EF49" s="232" t="str">
        <f>IF(CU49*DU49*BC49=0,"",CU49*DU49*BC49)</f>
        <v/>
      </c>
      <c r="EG49" s="233"/>
      <c r="EH49" s="233"/>
      <c r="EI49" s="234"/>
    </row>
    <row r="50" spans="1:139" ht="14.1" customHeight="1">
      <c r="A50" s="249"/>
      <c r="B50" s="250"/>
      <c r="C50" s="259"/>
      <c r="D50" s="260"/>
      <c r="E50" s="260"/>
      <c r="F50" s="260"/>
      <c r="G50" s="260"/>
      <c r="H50" s="260"/>
      <c r="I50" s="260"/>
      <c r="J50" s="260"/>
      <c r="K50" s="260"/>
      <c r="L50" s="260"/>
      <c r="M50" s="260"/>
      <c r="N50" s="260"/>
      <c r="O50" s="261"/>
      <c r="P50" s="259"/>
      <c r="Q50" s="260"/>
      <c r="R50" s="260"/>
      <c r="S50" s="260"/>
      <c r="T50" s="260"/>
      <c r="U50" s="260"/>
      <c r="V50" s="260"/>
      <c r="W50" s="260"/>
      <c r="X50" s="260"/>
      <c r="Y50" s="260"/>
      <c r="Z50" s="260"/>
      <c r="AA50" s="260"/>
      <c r="AB50" s="260"/>
      <c r="AC50" s="260"/>
      <c r="AD50" s="260"/>
      <c r="AE50" s="261"/>
      <c r="AF50" s="259"/>
      <c r="AG50" s="260"/>
      <c r="AH50" s="260"/>
      <c r="AI50" s="260"/>
      <c r="AJ50" s="260"/>
      <c r="AK50" s="260"/>
      <c r="AL50" s="260"/>
      <c r="AM50" s="260"/>
      <c r="AN50" s="260"/>
      <c r="AO50" s="260"/>
      <c r="AP50" s="260"/>
      <c r="AQ50" s="260"/>
      <c r="AR50" s="260"/>
      <c r="AS50" s="260"/>
      <c r="AT50" s="260"/>
      <c r="AU50" s="260"/>
      <c r="AV50" s="260"/>
      <c r="AW50" s="260"/>
      <c r="AX50" s="260"/>
      <c r="AY50" s="261"/>
      <c r="AZ50" s="204"/>
      <c r="BA50" s="204"/>
      <c r="BB50" s="205"/>
      <c r="BC50" s="279"/>
      <c r="BD50" s="280"/>
      <c r="BE50" s="281"/>
      <c r="BF50" s="226"/>
      <c r="BG50" s="227"/>
      <c r="BH50" s="228"/>
      <c r="BI50" s="149"/>
      <c r="BJ50" s="150"/>
      <c r="BK50" s="20"/>
      <c r="BL50" s="20"/>
      <c r="BM50" s="20"/>
      <c r="BN50" s="20"/>
      <c r="BO50" s="20"/>
      <c r="BP50" s="20"/>
      <c r="BQ50" s="20"/>
      <c r="BR50" s="20"/>
      <c r="BS50" s="20"/>
      <c r="BT50" s="20"/>
      <c r="BU50" s="20"/>
      <c r="BV50" s="20"/>
      <c r="BW50" s="20"/>
      <c r="BX50" s="209"/>
      <c r="BY50" s="210"/>
      <c r="BZ50" s="210"/>
      <c r="CA50" s="210"/>
      <c r="CB50" s="210"/>
      <c r="CC50" s="210"/>
      <c r="CD50" s="210"/>
      <c r="CE50" s="216"/>
      <c r="CF50" s="226"/>
      <c r="CG50" s="227"/>
      <c r="CH50" s="228"/>
      <c r="CI50" s="209"/>
      <c r="CJ50" s="210"/>
      <c r="CK50" s="210"/>
      <c r="CL50" s="210"/>
      <c r="CM50" s="210"/>
      <c r="CN50" s="210"/>
      <c r="CO50" s="210"/>
      <c r="CP50" s="211"/>
      <c r="CQ50" s="235"/>
      <c r="CR50" s="236"/>
      <c r="CS50" s="236"/>
      <c r="CT50" s="237"/>
      <c r="CU50" s="226"/>
      <c r="CV50" s="227"/>
      <c r="CW50" s="228"/>
      <c r="CX50" s="149"/>
      <c r="CY50" s="150"/>
      <c r="CZ50" s="20"/>
      <c r="DA50" s="20"/>
      <c r="DB50" s="20"/>
      <c r="DC50" s="20"/>
      <c r="DD50" s="20"/>
      <c r="DE50" s="20"/>
      <c r="DF50" s="20"/>
      <c r="DG50" s="20"/>
      <c r="DH50" s="20"/>
      <c r="DI50" s="20"/>
      <c r="DJ50" s="20"/>
      <c r="DK50" s="20"/>
      <c r="DL50" s="20"/>
      <c r="DM50" s="209"/>
      <c r="DN50" s="210"/>
      <c r="DO50" s="210"/>
      <c r="DP50" s="210"/>
      <c r="DQ50" s="210"/>
      <c r="DR50" s="210"/>
      <c r="DS50" s="210"/>
      <c r="DT50" s="216"/>
      <c r="DU50" s="226"/>
      <c r="DV50" s="227"/>
      <c r="DW50" s="228"/>
      <c r="DX50" s="209"/>
      <c r="DY50" s="210"/>
      <c r="DZ50" s="210"/>
      <c r="EA50" s="210"/>
      <c r="EB50" s="210"/>
      <c r="EC50" s="210"/>
      <c r="ED50" s="210"/>
      <c r="EE50" s="211"/>
      <c r="EF50" s="235"/>
      <c r="EG50" s="236"/>
      <c r="EH50" s="236"/>
      <c r="EI50" s="237"/>
    </row>
    <row r="51" spans="1:139" ht="14.1" customHeight="1">
      <c r="A51" s="249"/>
      <c r="B51" s="250"/>
      <c r="C51" s="259"/>
      <c r="D51" s="260"/>
      <c r="E51" s="260"/>
      <c r="F51" s="260"/>
      <c r="G51" s="260"/>
      <c r="H51" s="260"/>
      <c r="I51" s="260"/>
      <c r="J51" s="260"/>
      <c r="K51" s="260"/>
      <c r="L51" s="260"/>
      <c r="M51" s="260"/>
      <c r="N51" s="260"/>
      <c r="O51" s="261"/>
      <c r="P51" s="259"/>
      <c r="Q51" s="260"/>
      <c r="R51" s="260"/>
      <c r="S51" s="260"/>
      <c r="T51" s="260"/>
      <c r="U51" s="260"/>
      <c r="V51" s="260"/>
      <c r="W51" s="260"/>
      <c r="X51" s="260"/>
      <c r="Y51" s="260"/>
      <c r="Z51" s="260"/>
      <c r="AA51" s="260"/>
      <c r="AB51" s="260"/>
      <c r="AC51" s="260"/>
      <c r="AD51" s="260"/>
      <c r="AE51" s="261"/>
      <c r="AF51" s="259"/>
      <c r="AG51" s="260"/>
      <c r="AH51" s="260"/>
      <c r="AI51" s="260"/>
      <c r="AJ51" s="260"/>
      <c r="AK51" s="260"/>
      <c r="AL51" s="260"/>
      <c r="AM51" s="260"/>
      <c r="AN51" s="260"/>
      <c r="AO51" s="260"/>
      <c r="AP51" s="260"/>
      <c r="AQ51" s="260"/>
      <c r="AR51" s="260"/>
      <c r="AS51" s="260"/>
      <c r="AT51" s="260"/>
      <c r="AU51" s="260"/>
      <c r="AV51" s="260"/>
      <c r="AW51" s="260"/>
      <c r="AX51" s="260"/>
      <c r="AY51" s="261"/>
      <c r="AZ51" s="204"/>
      <c r="BA51" s="204"/>
      <c r="BB51" s="205"/>
      <c r="BC51" s="279"/>
      <c r="BD51" s="280"/>
      <c r="BE51" s="281"/>
      <c r="BF51" s="226"/>
      <c r="BG51" s="227"/>
      <c r="BH51" s="228"/>
      <c r="BI51" s="149" t="s">
        <v>46</v>
      </c>
      <c r="BJ51" s="150"/>
      <c r="BK51" s="20"/>
      <c r="BL51" s="20"/>
      <c r="BM51" s="20"/>
      <c r="BN51" s="20"/>
      <c r="BO51" s="20"/>
      <c r="BP51" s="20"/>
      <c r="BQ51" s="20"/>
      <c r="BR51" s="20"/>
      <c r="BS51" s="20"/>
      <c r="BT51" s="20"/>
      <c r="BU51" s="20"/>
      <c r="BV51" s="20"/>
      <c r="BW51" s="20"/>
      <c r="BX51" s="209"/>
      <c r="BY51" s="210"/>
      <c r="BZ51" s="210"/>
      <c r="CA51" s="210"/>
      <c r="CB51" s="210"/>
      <c r="CC51" s="210"/>
      <c r="CD51" s="210"/>
      <c r="CE51" s="216"/>
      <c r="CF51" s="226"/>
      <c r="CG51" s="227"/>
      <c r="CH51" s="228"/>
      <c r="CI51" s="209"/>
      <c r="CJ51" s="210"/>
      <c r="CK51" s="210"/>
      <c r="CL51" s="210"/>
      <c r="CM51" s="210"/>
      <c r="CN51" s="210"/>
      <c r="CO51" s="210"/>
      <c r="CP51" s="211"/>
      <c r="CQ51" s="235"/>
      <c r="CR51" s="236"/>
      <c r="CS51" s="236"/>
      <c r="CT51" s="237"/>
      <c r="CU51" s="226"/>
      <c r="CV51" s="227"/>
      <c r="CW51" s="228"/>
      <c r="CX51" s="149" t="s">
        <v>46</v>
      </c>
      <c r="CY51" s="150"/>
      <c r="CZ51" s="20"/>
      <c r="DA51" s="20"/>
      <c r="DB51" s="20"/>
      <c r="DC51" s="20"/>
      <c r="DD51" s="20"/>
      <c r="DE51" s="20"/>
      <c r="DF51" s="20"/>
      <c r="DG51" s="20"/>
      <c r="DH51" s="20"/>
      <c r="DI51" s="20"/>
      <c r="DJ51" s="20"/>
      <c r="DK51" s="20"/>
      <c r="DL51" s="20"/>
      <c r="DM51" s="209"/>
      <c r="DN51" s="210"/>
      <c r="DO51" s="210"/>
      <c r="DP51" s="210"/>
      <c r="DQ51" s="210"/>
      <c r="DR51" s="210"/>
      <c r="DS51" s="210"/>
      <c r="DT51" s="216"/>
      <c r="DU51" s="226"/>
      <c r="DV51" s="227"/>
      <c r="DW51" s="228"/>
      <c r="DX51" s="209"/>
      <c r="DY51" s="210"/>
      <c r="DZ51" s="210"/>
      <c r="EA51" s="210"/>
      <c r="EB51" s="210"/>
      <c r="EC51" s="210"/>
      <c r="ED51" s="210"/>
      <c r="EE51" s="211"/>
      <c r="EF51" s="235"/>
      <c r="EG51" s="236"/>
      <c r="EH51" s="236"/>
      <c r="EI51" s="237"/>
    </row>
    <row r="52" spans="1:139" ht="14.1" customHeight="1">
      <c r="A52" s="249"/>
      <c r="B52" s="250"/>
      <c r="C52" s="259"/>
      <c r="D52" s="260"/>
      <c r="E52" s="260"/>
      <c r="F52" s="260"/>
      <c r="G52" s="260"/>
      <c r="H52" s="260"/>
      <c r="I52" s="260"/>
      <c r="J52" s="260"/>
      <c r="K52" s="260"/>
      <c r="L52" s="260"/>
      <c r="M52" s="260"/>
      <c r="N52" s="260"/>
      <c r="O52" s="261"/>
      <c r="P52" s="259"/>
      <c r="Q52" s="260"/>
      <c r="R52" s="260"/>
      <c r="S52" s="260"/>
      <c r="T52" s="260"/>
      <c r="U52" s="260"/>
      <c r="V52" s="260"/>
      <c r="W52" s="260"/>
      <c r="X52" s="260"/>
      <c r="Y52" s="260"/>
      <c r="Z52" s="260"/>
      <c r="AA52" s="260"/>
      <c r="AB52" s="260"/>
      <c r="AC52" s="260"/>
      <c r="AD52" s="260"/>
      <c r="AE52" s="261"/>
      <c r="AF52" s="259"/>
      <c r="AG52" s="260"/>
      <c r="AH52" s="260"/>
      <c r="AI52" s="260"/>
      <c r="AJ52" s="260"/>
      <c r="AK52" s="260"/>
      <c r="AL52" s="260"/>
      <c r="AM52" s="260"/>
      <c r="AN52" s="260"/>
      <c r="AO52" s="260"/>
      <c r="AP52" s="260"/>
      <c r="AQ52" s="260"/>
      <c r="AR52" s="260"/>
      <c r="AS52" s="260"/>
      <c r="AT52" s="260"/>
      <c r="AU52" s="260"/>
      <c r="AV52" s="260"/>
      <c r="AW52" s="260"/>
      <c r="AX52" s="260"/>
      <c r="AY52" s="261"/>
      <c r="AZ52" s="204"/>
      <c r="BA52" s="204"/>
      <c r="BB52" s="205"/>
      <c r="BC52" s="279"/>
      <c r="BD52" s="280"/>
      <c r="BE52" s="281"/>
      <c r="BF52" s="226"/>
      <c r="BG52" s="227"/>
      <c r="BH52" s="228"/>
      <c r="BI52" s="151"/>
      <c r="BJ52" s="150"/>
      <c r="BK52" s="20"/>
      <c r="BL52" s="20"/>
      <c r="BM52" s="20"/>
      <c r="BN52" s="20"/>
      <c r="BO52" s="20"/>
      <c r="BP52" s="20"/>
      <c r="BQ52" s="20"/>
      <c r="BR52" s="20"/>
      <c r="BS52" s="20"/>
      <c r="BT52" s="20"/>
      <c r="BU52" s="20"/>
      <c r="BV52" s="20"/>
      <c r="BW52" s="20"/>
      <c r="BX52" s="209"/>
      <c r="BY52" s="210"/>
      <c r="BZ52" s="210"/>
      <c r="CA52" s="210"/>
      <c r="CB52" s="210"/>
      <c r="CC52" s="210"/>
      <c r="CD52" s="210"/>
      <c r="CE52" s="216"/>
      <c r="CF52" s="226"/>
      <c r="CG52" s="227"/>
      <c r="CH52" s="228"/>
      <c r="CI52" s="209"/>
      <c r="CJ52" s="210"/>
      <c r="CK52" s="210"/>
      <c r="CL52" s="210"/>
      <c r="CM52" s="210"/>
      <c r="CN52" s="210"/>
      <c r="CO52" s="210"/>
      <c r="CP52" s="211"/>
      <c r="CQ52" s="235"/>
      <c r="CR52" s="236"/>
      <c r="CS52" s="236"/>
      <c r="CT52" s="237"/>
      <c r="CU52" s="226"/>
      <c r="CV52" s="227"/>
      <c r="CW52" s="228"/>
      <c r="CX52" s="151"/>
      <c r="CY52" s="150"/>
      <c r="CZ52" s="20"/>
      <c r="DA52" s="20"/>
      <c r="DB52" s="20"/>
      <c r="DC52" s="20"/>
      <c r="DD52" s="20"/>
      <c r="DE52" s="20"/>
      <c r="DF52" s="20"/>
      <c r="DG52" s="20"/>
      <c r="DH52" s="20"/>
      <c r="DI52" s="20"/>
      <c r="DJ52" s="20"/>
      <c r="DK52" s="20"/>
      <c r="DL52" s="20"/>
      <c r="DM52" s="209"/>
      <c r="DN52" s="210"/>
      <c r="DO52" s="210"/>
      <c r="DP52" s="210"/>
      <c r="DQ52" s="210"/>
      <c r="DR52" s="210"/>
      <c r="DS52" s="210"/>
      <c r="DT52" s="216"/>
      <c r="DU52" s="226"/>
      <c r="DV52" s="227"/>
      <c r="DW52" s="228"/>
      <c r="DX52" s="209"/>
      <c r="DY52" s="210"/>
      <c r="DZ52" s="210"/>
      <c r="EA52" s="210"/>
      <c r="EB52" s="210"/>
      <c r="EC52" s="210"/>
      <c r="ED52" s="210"/>
      <c r="EE52" s="211"/>
      <c r="EF52" s="235"/>
      <c r="EG52" s="236"/>
      <c r="EH52" s="236"/>
      <c r="EI52" s="237"/>
    </row>
    <row r="53" spans="1:139" ht="14.1" customHeight="1">
      <c r="A53" s="249"/>
      <c r="B53" s="250"/>
      <c r="C53" s="259"/>
      <c r="D53" s="260"/>
      <c r="E53" s="260"/>
      <c r="F53" s="260"/>
      <c r="G53" s="260"/>
      <c r="H53" s="260"/>
      <c r="I53" s="260"/>
      <c r="J53" s="260"/>
      <c r="K53" s="260"/>
      <c r="L53" s="260"/>
      <c r="M53" s="260"/>
      <c r="N53" s="260"/>
      <c r="O53" s="261"/>
      <c r="P53" s="259"/>
      <c r="Q53" s="260"/>
      <c r="R53" s="260"/>
      <c r="S53" s="260"/>
      <c r="T53" s="260"/>
      <c r="U53" s="260"/>
      <c r="V53" s="260"/>
      <c r="W53" s="260"/>
      <c r="X53" s="260"/>
      <c r="Y53" s="260"/>
      <c r="Z53" s="260"/>
      <c r="AA53" s="260"/>
      <c r="AB53" s="260"/>
      <c r="AC53" s="260"/>
      <c r="AD53" s="260"/>
      <c r="AE53" s="261"/>
      <c r="AF53" s="259"/>
      <c r="AG53" s="260"/>
      <c r="AH53" s="260"/>
      <c r="AI53" s="260"/>
      <c r="AJ53" s="260"/>
      <c r="AK53" s="260"/>
      <c r="AL53" s="260"/>
      <c r="AM53" s="260"/>
      <c r="AN53" s="260"/>
      <c r="AO53" s="260"/>
      <c r="AP53" s="260"/>
      <c r="AQ53" s="260"/>
      <c r="AR53" s="260"/>
      <c r="AS53" s="260"/>
      <c r="AT53" s="260"/>
      <c r="AU53" s="260"/>
      <c r="AV53" s="260"/>
      <c r="AW53" s="260"/>
      <c r="AX53" s="260"/>
      <c r="AY53" s="261"/>
      <c r="AZ53" s="204"/>
      <c r="BA53" s="204"/>
      <c r="BB53" s="205"/>
      <c r="BC53" s="279"/>
      <c r="BD53" s="280"/>
      <c r="BE53" s="281"/>
      <c r="BF53" s="226"/>
      <c r="BG53" s="227"/>
      <c r="BH53" s="228"/>
      <c r="BI53" s="149" t="s">
        <v>47</v>
      </c>
      <c r="BJ53" s="150"/>
      <c r="BK53" s="20"/>
      <c r="BL53" s="20"/>
      <c r="BM53" s="20"/>
      <c r="BN53" s="20"/>
      <c r="BO53" s="20"/>
      <c r="BP53" s="20"/>
      <c r="BQ53" s="20"/>
      <c r="BR53" s="20"/>
      <c r="BS53" s="20"/>
      <c r="BT53" s="20"/>
      <c r="BU53" s="20"/>
      <c r="BV53" s="20"/>
      <c r="BW53" s="20"/>
      <c r="BX53" s="209"/>
      <c r="BY53" s="210"/>
      <c r="BZ53" s="210"/>
      <c r="CA53" s="210"/>
      <c r="CB53" s="210"/>
      <c r="CC53" s="210"/>
      <c r="CD53" s="210"/>
      <c r="CE53" s="216"/>
      <c r="CF53" s="226"/>
      <c r="CG53" s="227"/>
      <c r="CH53" s="228"/>
      <c r="CI53" s="209"/>
      <c r="CJ53" s="210"/>
      <c r="CK53" s="210"/>
      <c r="CL53" s="210"/>
      <c r="CM53" s="210"/>
      <c r="CN53" s="210"/>
      <c r="CO53" s="210"/>
      <c r="CP53" s="211"/>
      <c r="CQ53" s="235"/>
      <c r="CR53" s="236"/>
      <c r="CS53" s="236"/>
      <c r="CT53" s="237"/>
      <c r="CU53" s="226"/>
      <c r="CV53" s="227"/>
      <c r="CW53" s="228"/>
      <c r="CX53" s="149" t="s">
        <v>47</v>
      </c>
      <c r="CY53" s="150"/>
      <c r="CZ53" s="20"/>
      <c r="DA53" s="20"/>
      <c r="DB53" s="20"/>
      <c r="DC53" s="20"/>
      <c r="DD53" s="20"/>
      <c r="DE53" s="20"/>
      <c r="DF53" s="20"/>
      <c r="DG53" s="20"/>
      <c r="DH53" s="20"/>
      <c r="DI53" s="20"/>
      <c r="DJ53" s="20"/>
      <c r="DK53" s="20"/>
      <c r="DL53" s="20"/>
      <c r="DM53" s="209"/>
      <c r="DN53" s="210"/>
      <c r="DO53" s="210"/>
      <c r="DP53" s="210"/>
      <c r="DQ53" s="210"/>
      <c r="DR53" s="210"/>
      <c r="DS53" s="210"/>
      <c r="DT53" s="216"/>
      <c r="DU53" s="226"/>
      <c r="DV53" s="227"/>
      <c r="DW53" s="228"/>
      <c r="DX53" s="209"/>
      <c r="DY53" s="210"/>
      <c r="DZ53" s="210"/>
      <c r="EA53" s="210"/>
      <c r="EB53" s="210"/>
      <c r="EC53" s="210"/>
      <c r="ED53" s="210"/>
      <c r="EE53" s="211"/>
      <c r="EF53" s="235"/>
      <c r="EG53" s="236"/>
      <c r="EH53" s="236"/>
      <c r="EI53" s="237"/>
    </row>
    <row r="54" spans="1:139" ht="14.1" customHeight="1">
      <c r="A54" s="249"/>
      <c r="B54" s="250"/>
      <c r="C54" s="259"/>
      <c r="D54" s="260"/>
      <c r="E54" s="260"/>
      <c r="F54" s="260"/>
      <c r="G54" s="260"/>
      <c r="H54" s="260"/>
      <c r="I54" s="260"/>
      <c r="J54" s="260"/>
      <c r="K54" s="260"/>
      <c r="L54" s="260"/>
      <c r="M54" s="260"/>
      <c r="N54" s="260"/>
      <c r="O54" s="261"/>
      <c r="P54" s="259"/>
      <c r="Q54" s="260"/>
      <c r="R54" s="260"/>
      <c r="S54" s="260"/>
      <c r="T54" s="260"/>
      <c r="U54" s="260"/>
      <c r="V54" s="260"/>
      <c r="W54" s="260"/>
      <c r="X54" s="260"/>
      <c r="Y54" s="260"/>
      <c r="Z54" s="260"/>
      <c r="AA54" s="260"/>
      <c r="AB54" s="260"/>
      <c r="AC54" s="260"/>
      <c r="AD54" s="260"/>
      <c r="AE54" s="261"/>
      <c r="AF54" s="259"/>
      <c r="AG54" s="260"/>
      <c r="AH54" s="260"/>
      <c r="AI54" s="260"/>
      <c r="AJ54" s="260"/>
      <c r="AK54" s="260"/>
      <c r="AL54" s="260"/>
      <c r="AM54" s="260"/>
      <c r="AN54" s="260"/>
      <c r="AO54" s="260"/>
      <c r="AP54" s="260"/>
      <c r="AQ54" s="260"/>
      <c r="AR54" s="260"/>
      <c r="AS54" s="260"/>
      <c r="AT54" s="260"/>
      <c r="AU54" s="260"/>
      <c r="AV54" s="260"/>
      <c r="AW54" s="260"/>
      <c r="AX54" s="260"/>
      <c r="AY54" s="261"/>
      <c r="AZ54" s="204"/>
      <c r="BA54" s="204"/>
      <c r="BB54" s="205"/>
      <c r="BC54" s="279"/>
      <c r="BD54" s="280"/>
      <c r="BE54" s="281"/>
      <c r="BF54" s="226"/>
      <c r="BG54" s="227"/>
      <c r="BH54" s="228"/>
      <c r="BI54" s="151"/>
      <c r="BJ54" s="150"/>
      <c r="BK54" s="20"/>
      <c r="BL54" s="20"/>
      <c r="BM54" s="20"/>
      <c r="BN54" s="20"/>
      <c r="BO54" s="20"/>
      <c r="BP54" s="20"/>
      <c r="BQ54" s="20"/>
      <c r="BR54" s="20"/>
      <c r="BS54" s="20"/>
      <c r="BT54" s="20"/>
      <c r="BU54" s="20"/>
      <c r="BV54" s="20"/>
      <c r="BW54" s="20"/>
      <c r="BX54" s="209"/>
      <c r="BY54" s="210"/>
      <c r="BZ54" s="210"/>
      <c r="CA54" s="210"/>
      <c r="CB54" s="210"/>
      <c r="CC54" s="210"/>
      <c r="CD54" s="210"/>
      <c r="CE54" s="216"/>
      <c r="CF54" s="226"/>
      <c r="CG54" s="227"/>
      <c r="CH54" s="228"/>
      <c r="CI54" s="209"/>
      <c r="CJ54" s="210"/>
      <c r="CK54" s="210"/>
      <c r="CL54" s="210"/>
      <c r="CM54" s="210"/>
      <c r="CN54" s="210"/>
      <c r="CO54" s="210"/>
      <c r="CP54" s="211"/>
      <c r="CQ54" s="235"/>
      <c r="CR54" s="236"/>
      <c r="CS54" s="236"/>
      <c r="CT54" s="237"/>
      <c r="CU54" s="226"/>
      <c r="CV54" s="227"/>
      <c r="CW54" s="228"/>
      <c r="CX54" s="151"/>
      <c r="CY54" s="150"/>
      <c r="CZ54" s="20"/>
      <c r="DA54" s="20"/>
      <c r="DB54" s="20"/>
      <c r="DC54" s="20"/>
      <c r="DD54" s="20"/>
      <c r="DE54" s="20"/>
      <c r="DF54" s="20"/>
      <c r="DG54" s="20"/>
      <c r="DH54" s="20"/>
      <c r="DI54" s="20"/>
      <c r="DJ54" s="20"/>
      <c r="DK54" s="20"/>
      <c r="DL54" s="20"/>
      <c r="DM54" s="209"/>
      <c r="DN54" s="210"/>
      <c r="DO54" s="210"/>
      <c r="DP54" s="210"/>
      <c r="DQ54" s="210"/>
      <c r="DR54" s="210"/>
      <c r="DS54" s="210"/>
      <c r="DT54" s="216"/>
      <c r="DU54" s="226"/>
      <c r="DV54" s="227"/>
      <c r="DW54" s="228"/>
      <c r="DX54" s="209"/>
      <c r="DY54" s="210"/>
      <c r="DZ54" s="210"/>
      <c r="EA54" s="210"/>
      <c r="EB54" s="210"/>
      <c r="EC54" s="210"/>
      <c r="ED54" s="210"/>
      <c r="EE54" s="211"/>
      <c r="EF54" s="235"/>
      <c r="EG54" s="236"/>
      <c r="EH54" s="236"/>
      <c r="EI54" s="237"/>
    </row>
    <row r="55" spans="1:139" ht="14.1" customHeight="1">
      <c r="A55" s="251"/>
      <c r="B55" s="252"/>
      <c r="C55" s="262"/>
      <c r="D55" s="263"/>
      <c r="E55" s="263"/>
      <c r="F55" s="263"/>
      <c r="G55" s="263"/>
      <c r="H55" s="263"/>
      <c r="I55" s="263"/>
      <c r="J55" s="263"/>
      <c r="K55" s="263"/>
      <c r="L55" s="263"/>
      <c r="M55" s="263"/>
      <c r="N55" s="263"/>
      <c r="O55" s="264"/>
      <c r="P55" s="262"/>
      <c r="Q55" s="263"/>
      <c r="R55" s="263"/>
      <c r="S55" s="263"/>
      <c r="T55" s="263"/>
      <c r="U55" s="263"/>
      <c r="V55" s="263"/>
      <c r="W55" s="263"/>
      <c r="X55" s="263"/>
      <c r="Y55" s="263"/>
      <c r="Z55" s="263"/>
      <c r="AA55" s="263"/>
      <c r="AB55" s="263"/>
      <c r="AC55" s="263"/>
      <c r="AD55" s="263"/>
      <c r="AE55" s="264"/>
      <c r="AF55" s="262"/>
      <c r="AG55" s="263"/>
      <c r="AH55" s="263"/>
      <c r="AI55" s="263"/>
      <c r="AJ55" s="263"/>
      <c r="AK55" s="263"/>
      <c r="AL55" s="263"/>
      <c r="AM55" s="263"/>
      <c r="AN55" s="263"/>
      <c r="AO55" s="263"/>
      <c r="AP55" s="263"/>
      <c r="AQ55" s="263"/>
      <c r="AR55" s="263"/>
      <c r="AS55" s="263"/>
      <c r="AT55" s="263"/>
      <c r="AU55" s="263"/>
      <c r="AV55" s="263"/>
      <c r="AW55" s="263"/>
      <c r="AX55" s="263"/>
      <c r="AY55" s="264"/>
      <c r="AZ55" s="204"/>
      <c r="BA55" s="204"/>
      <c r="BB55" s="205"/>
      <c r="BC55" s="282"/>
      <c r="BD55" s="283"/>
      <c r="BE55" s="284"/>
      <c r="BF55" s="229"/>
      <c r="BG55" s="230"/>
      <c r="BH55" s="231"/>
      <c r="BI55" s="218"/>
      <c r="BJ55" s="219"/>
      <c r="BK55" s="152"/>
      <c r="BL55" s="152"/>
      <c r="BM55" s="152"/>
      <c r="BN55" s="152"/>
      <c r="BO55" s="152"/>
      <c r="BP55" s="152"/>
      <c r="BQ55" s="152"/>
      <c r="BR55" s="152"/>
      <c r="BS55" s="152"/>
      <c r="BT55" s="152"/>
      <c r="BU55" s="152"/>
      <c r="BV55" s="152"/>
      <c r="BW55" s="153"/>
      <c r="BX55" s="212"/>
      <c r="BY55" s="213"/>
      <c r="BZ55" s="213"/>
      <c r="CA55" s="213"/>
      <c r="CB55" s="213"/>
      <c r="CC55" s="213"/>
      <c r="CD55" s="213"/>
      <c r="CE55" s="217"/>
      <c r="CF55" s="229"/>
      <c r="CG55" s="230"/>
      <c r="CH55" s="231"/>
      <c r="CI55" s="212"/>
      <c r="CJ55" s="213"/>
      <c r="CK55" s="213"/>
      <c r="CL55" s="213"/>
      <c r="CM55" s="213"/>
      <c r="CN55" s="213"/>
      <c r="CO55" s="213"/>
      <c r="CP55" s="214"/>
      <c r="CQ55" s="238"/>
      <c r="CR55" s="239"/>
      <c r="CS55" s="239"/>
      <c r="CT55" s="240"/>
      <c r="CU55" s="229"/>
      <c r="CV55" s="230"/>
      <c r="CW55" s="231"/>
      <c r="CX55" s="218"/>
      <c r="CY55" s="219"/>
      <c r="CZ55" s="152"/>
      <c r="DA55" s="152"/>
      <c r="DB55" s="152"/>
      <c r="DC55" s="152"/>
      <c r="DD55" s="152"/>
      <c r="DE55" s="152"/>
      <c r="DF55" s="152"/>
      <c r="DG55" s="152"/>
      <c r="DH55" s="152"/>
      <c r="DI55" s="152"/>
      <c r="DJ55" s="152"/>
      <c r="DK55" s="152"/>
      <c r="DL55" s="153"/>
      <c r="DM55" s="212"/>
      <c r="DN55" s="213"/>
      <c r="DO55" s="213"/>
      <c r="DP55" s="213"/>
      <c r="DQ55" s="213"/>
      <c r="DR55" s="213"/>
      <c r="DS55" s="213"/>
      <c r="DT55" s="217"/>
      <c r="DU55" s="229"/>
      <c r="DV55" s="230"/>
      <c r="DW55" s="231"/>
      <c r="DX55" s="212"/>
      <c r="DY55" s="213"/>
      <c r="DZ55" s="213"/>
      <c r="EA55" s="213"/>
      <c r="EB55" s="213"/>
      <c r="EC55" s="213"/>
      <c r="ED55" s="213"/>
      <c r="EE55" s="214"/>
      <c r="EF55" s="238"/>
      <c r="EG55" s="239"/>
      <c r="EH55" s="239"/>
      <c r="EI55" s="240"/>
    </row>
    <row r="56" spans="1:139" ht="14.1" customHeight="1">
      <c r="A56" s="247">
        <v>7</v>
      </c>
      <c r="B56" s="248"/>
      <c r="C56" s="256"/>
      <c r="D56" s="257"/>
      <c r="E56" s="257"/>
      <c r="F56" s="257"/>
      <c r="G56" s="257"/>
      <c r="H56" s="257"/>
      <c r="I56" s="257"/>
      <c r="J56" s="257"/>
      <c r="K56" s="257"/>
      <c r="L56" s="257"/>
      <c r="M56" s="257"/>
      <c r="N56" s="257"/>
      <c r="O56" s="258"/>
      <c r="P56" s="256"/>
      <c r="Q56" s="257"/>
      <c r="R56" s="257"/>
      <c r="S56" s="257"/>
      <c r="T56" s="257"/>
      <c r="U56" s="257"/>
      <c r="V56" s="257"/>
      <c r="W56" s="257"/>
      <c r="X56" s="257"/>
      <c r="Y56" s="257"/>
      <c r="Z56" s="257"/>
      <c r="AA56" s="257"/>
      <c r="AB56" s="257"/>
      <c r="AC56" s="257"/>
      <c r="AD56" s="257"/>
      <c r="AE56" s="258"/>
      <c r="AF56" s="256"/>
      <c r="AG56" s="257"/>
      <c r="AH56" s="257"/>
      <c r="AI56" s="257"/>
      <c r="AJ56" s="257"/>
      <c r="AK56" s="257"/>
      <c r="AL56" s="257"/>
      <c r="AM56" s="257"/>
      <c r="AN56" s="257"/>
      <c r="AO56" s="257"/>
      <c r="AP56" s="257"/>
      <c r="AQ56" s="257"/>
      <c r="AR56" s="257"/>
      <c r="AS56" s="257"/>
      <c r="AT56" s="257"/>
      <c r="AU56" s="257"/>
      <c r="AV56" s="257"/>
      <c r="AW56" s="257"/>
      <c r="AX56" s="257"/>
      <c r="AY56" s="258"/>
      <c r="AZ56" s="204"/>
      <c r="BA56" s="204"/>
      <c r="BB56" s="205"/>
      <c r="BC56" s="276" t="str">
        <f>IF(AZ56="","0",VLOOKUP(AZ56,設定!$G$26:$H$28,2,FALSE))</f>
        <v>0</v>
      </c>
      <c r="BD56" s="277"/>
      <c r="BE56" s="278"/>
      <c r="BF56" s="223"/>
      <c r="BG56" s="224"/>
      <c r="BH56" s="225"/>
      <c r="BI56" s="148" t="s">
        <v>45</v>
      </c>
      <c r="BJ56" s="20"/>
      <c r="BK56" s="20"/>
      <c r="BL56" s="20"/>
      <c r="BM56" s="20"/>
      <c r="BN56" s="20"/>
      <c r="BO56" s="20"/>
      <c r="BP56" s="20"/>
      <c r="BQ56" s="20"/>
      <c r="BR56" s="20"/>
      <c r="BS56" s="20"/>
      <c r="BT56" s="20"/>
      <c r="BU56" s="20"/>
      <c r="BV56" s="20"/>
      <c r="BW56" s="20"/>
      <c r="BX56" s="206"/>
      <c r="BY56" s="207"/>
      <c r="BZ56" s="207"/>
      <c r="CA56" s="207"/>
      <c r="CB56" s="207"/>
      <c r="CC56" s="207"/>
      <c r="CD56" s="207"/>
      <c r="CE56" s="215"/>
      <c r="CF56" s="223"/>
      <c r="CG56" s="224"/>
      <c r="CH56" s="225"/>
      <c r="CI56" s="206"/>
      <c r="CJ56" s="207"/>
      <c r="CK56" s="207"/>
      <c r="CL56" s="207"/>
      <c r="CM56" s="207"/>
      <c r="CN56" s="207"/>
      <c r="CO56" s="207"/>
      <c r="CP56" s="208"/>
      <c r="CQ56" s="232" t="str">
        <f>IF(BF56*CF56*BC56=0,"",BF56*CF56*BC56)</f>
        <v/>
      </c>
      <c r="CR56" s="233"/>
      <c r="CS56" s="233"/>
      <c r="CT56" s="234"/>
      <c r="CU56" s="223"/>
      <c r="CV56" s="224"/>
      <c r="CW56" s="225"/>
      <c r="CX56" s="148" t="s">
        <v>45</v>
      </c>
      <c r="CY56" s="20"/>
      <c r="CZ56" s="20"/>
      <c r="DA56" s="20"/>
      <c r="DB56" s="20"/>
      <c r="DC56" s="20"/>
      <c r="DD56" s="20"/>
      <c r="DE56" s="20"/>
      <c r="DF56" s="20"/>
      <c r="DG56" s="20"/>
      <c r="DH56" s="20"/>
      <c r="DI56" s="20"/>
      <c r="DJ56" s="20"/>
      <c r="DK56" s="20"/>
      <c r="DL56" s="20"/>
      <c r="DM56" s="206"/>
      <c r="DN56" s="207"/>
      <c r="DO56" s="207"/>
      <c r="DP56" s="207"/>
      <c r="DQ56" s="207"/>
      <c r="DR56" s="207"/>
      <c r="DS56" s="207"/>
      <c r="DT56" s="215"/>
      <c r="DU56" s="223"/>
      <c r="DV56" s="224"/>
      <c r="DW56" s="225"/>
      <c r="DX56" s="206"/>
      <c r="DY56" s="207"/>
      <c r="DZ56" s="207"/>
      <c r="EA56" s="207"/>
      <c r="EB56" s="207"/>
      <c r="EC56" s="207"/>
      <c r="ED56" s="207"/>
      <c r="EE56" s="208"/>
      <c r="EF56" s="232" t="str">
        <f>IF(CU56*DU56*BC56=0,"",CU56*DU56*BC56)</f>
        <v/>
      </c>
      <c r="EG56" s="233"/>
      <c r="EH56" s="233"/>
      <c r="EI56" s="234"/>
    </row>
    <row r="57" spans="1:139" ht="14.1" customHeight="1">
      <c r="A57" s="249"/>
      <c r="B57" s="250"/>
      <c r="C57" s="259"/>
      <c r="D57" s="260"/>
      <c r="E57" s="260"/>
      <c r="F57" s="260"/>
      <c r="G57" s="260"/>
      <c r="H57" s="260"/>
      <c r="I57" s="260"/>
      <c r="J57" s="260"/>
      <c r="K57" s="260"/>
      <c r="L57" s="260"/>
      <c r="M57" s="260"/>
      <c r="N57" s="260"/>
      <c r="O57" s="261"/>
      <c r="P57" s="259"/>
      <c r="Q57" s="260"/>
      <c r="R57" s="260"/>
      <c r="S57" s="260"/>
      <c r="T57" s="260"/>
      <c r="U57" s="260"/>
      <c r="V57" s="260"/>
      <c r="W57" s="260"/>
      <c r="X57" s="260"/>
      <c r="Y57" s="260"/>
      <c r="Z57" s="260"/>
      <c r="AA57" s="260"/>
      <c r="AB57" s="260"/>
      <c r="AC57" s="260"/>
      <c r="AD57" s="260"/>
      <c r="AE57" s="261"/>
      <c r="AF57" s="259"/>
      <c r="AG57" s="260"/>
      <c r="AH57" s="260"/>
      <c r="AI57" s="260"/>
      <c r="AJ57" s="260"/>
      <c r="AK57" s="260"/>
      <c r="AL57" s="260"/>
      <c r="AM57" s="260"/>
      <c r="AN57" s="260"/>
      <c r="AO57" s="260"/>
      <c r="AP57" s="260"/>
      <c r="AQ57" s="260"/>
      <c r="AR57" s="260"/>
      <c r="AS57" s="260"/>
      <c r="AT57" s="260"/>
      <c r="AU57" s="260"/>
      <c r="AV57" s="260"/>
      <c r="AW57" s="260"/>
      <c r="AX57" s="260"/>
      <c r="AY57" s="261"/>
      <c r="AZ57" s="204"/>
      <c r="BA57" s="204"/>
      <c r="BB57" s="205"/>
      <c r="BC57" s="279"/>
      <c r="BD57" s="280"/>
      <c r="BE57" s="281"/>
      <c r="BF57" s="226"/>
      <c r="BG57" s="227"/>
      <c r="BH57" s="228"/>
      <c r="BI57" s="149"/>
      <c r="BJ57" s="150"/>
      <c r="BK57" s="20"/>
      <c r="BL57" s="20"/>
      <c r="BM57" s="20"/>
      <c r="BN57" s="20"/>
      <c r="BO57" s="20"/>
      <c r="BP57" s="20"/>
      <c r="BQ57" s="20"/>
      <c r="BR57" s="20"/>
      <c r="BS57" s="20"/>
      <c r="BT57" s="20"/>
      <c r="BU57" s="20"/>
      <c r="BV57" s="20"/>
      <c r="BW57" s="20"/>
      <c r="BX57" s="209"/>
      <c r="BY57" s="210"/>
      <c r="BZ57" s="210"/>
      <c r="CA57" s="210"/>
      <c r="CB57" s="210"/>
      <c r="CC57" s="210"/>
      <c r="CD57" s="210"/>
      <c r="CE57" s="216"/>
      <c r="CF57" s="226"/>
      <c r="CG57" s="227"/>
      <c r="CH57" s="228"/>
      <c r="CI57" s="209"/>
      <c r="CJ57" s="210"/>
      <c r="CK57" s="210"/>
      <c r="CL57" s="210"/>
      <c r="CM57" s="210"/>
      <c r="CN57" s="210"/>
      <c r="CO57" s="210"/>
      <c r="CP57" s="211"/>
      <c r="CQ57" s="235"/>
      <c r="CR57" s="236"/>
      <c r="CS57" s="236"/>
      <c r="CT57" s="237"/>
      <c r="CU57" s="226"/>
      <c r="CV57" s="227"/>
      <c r="CW57" s="228"/>
      <c r="CX57" s="149"/>
      <c r="CY57" s="150"/>
      <c r="CZ57" s="20"/>
      <c r="DA57" s="20"/>
      <c r="DB57" s="20"/>
      <c r="DC57" s="20"/>
      <c r="DD57" s="20"/>
      <c r="DE57" s="20"/>
      <c r="DF57" s="20"/>
      <c r="DG57" s="20"/>
      <c r="DH57" s="20"/>
      <c r="DI57" s="20"/>
      <c r="DJ57" s="20"/>
      <c r="DK57" s="20"/>
      <c r="DL57" s="20"/>
      <c r="DM57" s="209"/>
      <c r="DN57" s="210"/>
      <c r="DO57" s="210"/>
      <c r="DP57" s="210"/>
      <c r="DQ57" s="210"/>
      <c r="DR57" s="210"/>
      <c r="DS57" s="210"/>
      <c r="DT57" s="216"/>
      <c r="DU57" s="226"/>
      <c r="DV57" s="227"/>
      <c r="DW57" s="228"/>
      <c r="DX57" s="209"/>
      <c r="DY57" s="210"/>
      <c r="DZ57" s="210"/>
      <c r="EA57" s="210"/>
      <c r="EB57" s="210"/>
      <c r="EC57" s="210"/>
      <c r="ED57" s="210"/>
      <c r="EE57" s="211"/>
      <c r="EF57" s="235"/>
      <c r="EG57" s="236"/>
      <c r="EH57" s="236"/>
      <c r="EI57" s="237"/>
    </row>
    <row r="58" spans="1:139" ht="14.1" customHeight="1">
      <c r="A58" s="249"/>
      <c r="B58" s="250"/>
      <c r="C58" s="259"/>
      <c r="D58" s="260"/>
      <c r="E58" s="260"/>
      <c r="F58" s="260"/>
      <c r="G58" s="260"/>
      <c r="H58" s="260"/>
      <c r="I58" s="260"/>
      <c r="J58" s="260"/>
      <c r="K58" s="260"/>
      <c r="L58" s="260"/>
      <c r="M58" s="260"/>
      <c r="N58" s="260"/>
      <c r="O58" s="261"/>
      <c r="P58" s="259"/>
      <c r="Q58" s="260"/>
      <c r="R58" s="260"/>
      <c r="S58" s="260"/>
      <c r="T58" s="260"/>
      <c r="U58" s="260"/>
      <c r="V58" s="260"/>
      <c r="W58" s="260"/>
      <c r="X58" s="260"/>
      <c r="Y58" s="260"/>
      <c r="Z58" s="260"/>
      <c r="AA58" s="260"/>
      <c r="AB58" s="260"/>
      <c r="AC58" s="260"/>
      <c r="AD58" s="260"/>
      <c r="AE58" s="261"/>
      <c r="AF58" s="259"/>
      <c r="AG58" s="260"/>
      <c r="AH58" s="260"/>
      <c r="AI58" s="260"/>
      <c r="AJ58" s="260"/>
      <c r="AK58" s="260"/>
      <c r="AL58" s="260"/>
      <c r="AM58" s="260"/>
      <c r="AN58" s="260"/>
      <c r="AO58" s="260"/>
      <c r="AP58" s="260"/>
      <c r="AQ58" s="260"/>
      <c r="AR58" s="260"/>
      <c r="AS58" s="260"/>
      <c r="AT58" s="260"/>
      <c r="AU58" s="260"/>
      <c r="AV58" s="260"/>
      <c r="AW58" s="260"/>
      <c r="AX58" s="260"/>
      <c r="AY58" s="261"/>
      <c r="AZ58" s="204"/>
      <c r="BA58" s="204"/>
      <c r="BB58" s="205"/>
      <c r="BC58" s="279"/>
      <c r="BD58" s="280"/>
      <c r="BE58" s="281"/>
      <c r="BF58" s="226"/>
      <c r="BG58" s="227"/>
      <c r="BH58" s="228"/>
      <c r="BI58" s="149" t="s">
        <v>46</v>
      </c>
      <c r="BJ58" s="150"/>
      <c r="BK58" s="20"/>
      <c r="BL58" s="20"/>
      <c r="BM58" s="20"/>
      <c r="BN58" s="20"/>
      <c r="BO58" s="20"/>
      <c r="BP58" s="20"/>
      <c r="BQ58" s="20"/>
      <c r="BR58" s="20"/>
      <c r="BS58" s="20"/>
      <c r="BT58" s="20"/>
      <c r="BU58" s="20"/>
      <c r="BV58" s="20"/>
      <c r="BW58" s="20"/>
      <c r="BX58" s="209"/>
      <c r="BY58" s="210"/>
      <c r="BZ58" s="210"/>
      <c r="CA58" s="210"/>
      <c r="CB58" s="210"/>
      <c r="CC58" s="210"/>
      <c r="CD58" s="210"/>
      <c r="CE58" s="216"/>
      <c r="CF58" s="226"/>
      <c r="CG58" s="227"/>
      <c r="CH58" s="228"/>
      <c r="CI58" s="209"/>
      <c r="CJ58" s="210"/>
      <c r="CK58" s="210"/>
      <c r="CL58" s="210"/>
      <c r="CM58" s="210"/>
      <c r="CN58" s="210"/>
      <c r="CO58" s="210"/>
      <c r="CP58" s="211"/>
      <c r="CQ58" s="235"/>
      <c r="CR58" s="236"/>
      <c r="CS58" s="236"/>
      <c r="CT58" s="237"/>
      <c r="CU58" s="226"/>
      <c r="CV58" s="227"/>
      <c r="CW58" s="228"/>
      <c r="CX58" s="149" t="s">
        <v>46</v>
      </c>
      <c r="CY58" s="150"/>
      <c r="CZ58" s="20"/>
      <c r="DA58" s="20"/>
      <c r="DB58" s="20"/>
      <c r="DC58" s="20"/>
      <c r="DD58" s="20"/>
      <c r="DE58" s="20"/>
      <c r="DF58" s="20"/>
      <c r="DG58" s="20"/>
      <c r="DH58" s="20"/>
      <c r="DI58" s="20"/>
      <c r="DJ58" s="20"/>
      <c r="DK58" s="20"/>
      <c r="DL58" s="20"/>
      <c r="DM58" s="209"/>
      <c r="DN58" s="210"/>
      <c r="DO58" s="210"/>
      <c r="DP58" s="210"/>
      <c r="DQ58" s="210"/>
      <c r="DR58" s="210"/>
      <c r="DS58" s="210"/>
      <c r="DT58" s="216"/>
      <c r="DU58" s="226"/>
      <c r="DV58" s="227"/>
      <c r="DW58" s="228"/>
      <c r="DX58" s="209"/>
      <c r="DY58" s="210"/>
      <c r="DZ58" s="210"/>
      <c r="EA58" s="210"/>
      <c r="EB58" s="210"/>
      <c r="EC58" s="210"/>
      <c r="ED58" s="210"/>
      <c r="EE58" s="211"/>
      <c r="EF58" s="235"/>
      <c r="EG58" s="236"/>
      <c r="EH58" s="236"/>
      <c r="EI58" s="237"/>
    </row>
    <row r="59" spans="1:139" ht="14.1" customHeight="1">
      <c r="A59" s="249"/>
      <c r="B59" s="250"/>
      <c r="C59" s="259"/>
      <c r="D59" s="260"/>
      <c r="E59" s="260"/>
      <c r="F59" s="260"/>
      <c r="G59" s="260"/>
      <c r="H59" s="260"/>
      <c r="I59" s="260"/>
      <c r="J59" s="260"/>
      <c r="K59" s="260"/>
      <c r="L59" s="260"/>
      <c r="M59" s="260"/>
      <c r="N59" s="260"/>
      <c r="O59" s="261"/>
      <c r="P59" s="259"/>
      <c r="Q59" s="260"/>
      <c r="R59" s="260"/>
      <c r="S59" s="260"/>
      <c r="T59" s="260"/>
      <c r="U59" s="260"/>
      <c r="V59" s="260"/>
      <c r="W59" s="260"/>
      <c r="X59" s="260"/>
      <c r="Y59" s="260"/>
      <c r="Z59" s="260"/>
      <c r="AA59" s="260"/>
      <c r="AB59" s="260"/>
      <c r="AC59" s="260"/>
      <c r="AD59" s="260"/>
      <c r="AE59" s="261"/>
      <c r="AF59" s="259"/>
      <c r="AG59" s="260"/>
      <c r="AH59" s="260"/>
      <c r="AI59" s="260"/>
      <c r="AJ59" s="260"/>
      <c r="AK59" s="260"/>
      <c r="AL59" s="260"/>
      <c r="AM59" s="260"/>
      <c r="AN59" s="260"/>
      <c r="AO59" s="260"/>
      <c r="AP59" s="260"/>
      <c r="AQ59" s="260"/>
      <c r="AR59" s="260"/>
      <c r="AS59" s="260"/>
      <c r="AT59" s="260"/>
      <c r="AU59" s="260"/>
      <c r="AV59" s="260"/>
      <c r="AW59" s="260"/>
      <c r="AX59" s="260"/>
      <c r="AY59" s="261"/>
      <c r="AZ59" s="204"/>
      <c r="BA59" s="204"/>
      <c r="BB59" s="205"/>
      <c r="BC59" s="279"/>
      <c r="BD59" s="280"/>
      <c r="BE59" s="281"/>
      <c r="BF59" s="226"/>
      <c r="BG59" s="227"/>
      <c r="BH59" s="228"/>
      <c r="BI59" s="151"/>
      <c r="BJ59" s="150"/>
      <c r="BK59" s="20"/>
      <c r="BL59" s="20"/>
      <c r="BM59" s="20"/>
      <c r="BN59" s="20"/>
      <c r="BO59" s="20"/>
      <c r="BP59" s="20"/>
      <c r="BQ59" s="20"/>
      <c r="BR59" s="20"/>
      <c r="BS59" s="20"/>
      <c r="BT59" s="20"/>
      <c r="BU59" s="20"/>
      <c r="BV59" s="20"/>
      <c r="BW59" s="20"/>
      <c r="BX59" s="209"/>
      <c r="BY59" s="210"/>
      <c r="BZ59" s="210"/>
      <c r="CA59" s="210"/>
      <c r="CB59" s="210"/>
      <c r="CC59" s="210"/>
      <c r="CD59" s="210"/>
      <c r="CE59" s="216"/>
      <c r="CF59" s="226"/>
      <c r="CG59" s="227"/>
      <c r="CH59" s="228"/>
      <c r="CI59" s="209"/>
      <c r="CJ59" s="210"/>
      <c r="CK59" s="210"/>
      <c r="CL59" s="210"/>
      <c r="CM59" s="210"/>
      <c r="CN59" s="210"/>
      <c r="CO59" s="210"/>
      <c r="CP59" s="211"/>
      <c r="CQ59" s="235"/>
      <c r="CR59" s="236"/>
      <c r="CS59" s="236"/>
      <c r="CT59" s="237"/>
      <c r="CU59" s="226"/>
      <c r="CV59" s="227"/>
      <c r="CW59" s="228"/>
      <c r="CX59" s="151"/>
      <c r="CY59" s="150"/>
      <c r="CZ59" s="20"/>
      <c r="DA59" s="20"/>
      <c r="DB59" s="20"/>
      <c r="DC59" s="20"/>
      <c r="DD59" s="20"/>
      <c r="DE59" s="20"/>
      <c r="DF59" s="20"/>
      <c r="DG59" s="20"/>
      <c r="DH59" s="20"/>
      <c r="DI59" s="20"/>
      <c r="DJ59" s="20"/>
      <c r="DK59" s="20"/>
      <c r="DL59" s="20"/>
      <c r="DM59" s="209"/>
      <c r="DN59" s="210"/>
      <c r="DO59" s="210"/>
      <c r="DP59" s="210"/>
      <c r="DQ59" s="210"/>
      <c r="DR59" s="210"/>
      <c r="DS59" s="210"/>
      <c r="DT59" s="216"/>
      <c r="DU59" s="226"/>
      <c r="DV59" s="227"/>
      <c r="DW59" s="228"/>
      <c r="DX59" s="209"/>
      <c r="DY59" s="210"/>
      <c r="DZ59" s="210"/>
      <c r="EA59" s="210"/>
      <c r="EB59" s="210"/>
      <c r="EC59" s="210"/>
      <c r="ED59" s="210"/>
      <c r="EE59" s="211"/>
      <c r="EF59" s="235"/>
      <c r="EG59" s="236"/>
      <c r="EH59" s="236"/>
      <c r="EI59" s="237"/>
    </row>
    <row r="60" spans="1:139" ht="14.1" customHeight="1">
      <c r="A60" s="249"/>
      <c r="B60" s="250"/>
      <c r="C60" s="259"/>
      <c r="D60" s="260"/>
      <c r="E60" s="260"/>
      <c r="F60" s="260"/>
      <c r="G60" s="260"/>
      <c r="H60" s="260"/>
      <c r="I60" s="260"/>
      <c r="J60" s="260"/>
      <c r="K60" s="260"/>
      <c r="L60" s="260"/>
      <c r="M60" s="260"/>
      <c r="N60" s="260"/>
      <c r="O60" s="261"/>
      <c r="P60" s="259"/>
      <c r="Q60" s="260"/>
      <c r="R60" s="260"/>
      <c r="S60" s="260"/>
      <c r="T60" s="260"/>
      <c r="U60" s="260"/>
      <c r="V60" s="260"/>
      <c r="W60" s="260"/>
      <c r="X60" s="260"/>
      <c r="Y60" s="260"/>
      <c r="Z60" s="260"/>
      <c r="AA60" s="260"/>
      <c r="AB60" s="260"/>
      <c r="AC60" s="260"/>
      <c r="AD60" s="260"/>
      <c r="AE60" s="261"/>
      <c r="AF60" s="259"/>
      <c r="AG60" s="260"/>
      <c r="AH60" s="260"/>
      <c r="AI60" s="260"/>
      <c r="AJ60" s="260"/>
      <c r="AK60" s="260"/>
      <c r="AL60" s="260"/>
      <c r="AM60" s="260"/>
      <c r="AN60" s="260"/>
      <c r="AO60" s="260"/>
      <c r="AP60" s="260"/>
      <c r="AQ60" s="260"/>
      <c r="AR60" s="260"/>
      <c r="AS60" s="260"/>
      <c r="AT60" s="260"/>
      <c r="AU60" s="260"/>
      <c r="AV60" s="260"/>
      <c r="AW60" s="260"/>
      <c r="AX60" s="260"/>
      <c r="AY60" s="261"/>
      <c r="AZ60" s="204"/>
      <c r="BA60" s="204"/>
      <c r="BB60" s="205"/>
      <c r="BC60" s="279"/>
      <c r="BD60" s="280"/>
      <c r="BE60" s="281"/>
      <c r="BF60" s="226"/>
      <c r="BG60" s="227"/>
      <c r="BH60" s="228"/>
      <c r="BI60" s="149" t="s">
        <v>47</v>
      </c>
      <c r="BJ60" s="150"/>
      <c r="BK60" s="20"/>
      <c r="BL60" s="20"/>
      <c r="BM60" s="20"/>
      <c r="BN60" s="20"/>
      <c r="BO60" s="20"/>
      <c r="BP60" s="20"/>
      <c r="BQ60" s="20"/>
      <c r="BR60" s="20"/>
      <c r="BS60" s="20"/>
      <c r="BT60" s="20"/>
      <c r="BU60" s="20"/>
      <c r="BV60" s="20"/>
      <c r="BW60" s="20"/>
      <c r="BX60" s="209"/>
      <c r="BY60" s="210"/>
      <c r="BZ60" s="210"/>
      <c r="CA60" s="210"/>
      <c r="CB60" s="210"/>
      <c r="CC60" s="210"/>
      <c r="CD60" s="210"/>
      <c r="CE60" s="216"/>
      <c r="CF60" s="226"/>
      <c r="CG60" s="227"/>
      <c r="CH60" s="228"/>
      <c r="CI60" s="209"/>
      <c r="CJ60" s="210"/>
      <c r="CK60" s="210"/>
      <c r="CL60" s="210"/>
      <c r="CM60" s="210"/>
      <c r="CN60" s="210"/>
      <c r="CO60" s="210"/>
      <c r="CP60" s="211"/>
      <c r="CQ60" s="235"/>
      <c r="CR60" s="236"/>
      <c r="CS60" s="236"/>
      <c r="CT60" s="237"/>
      <c r="CU60" s="226"/>
      <c r="CV60" s="227"/>
      <c r="CW60" s="228"/>
      <c r="CX60" s="149" t="s">
        <v>47</v>
      </c>
      <c r="CY60" s="150"/>
      <c r="CZ60" s="20"/>
      <c r="DA60" s="20"/>
      <c r="DB60" s="20"/>
      <c r="DC60" s="20"/>
      <c r="DD60" s="20"/>
      <c r="DE60" s="20"/>
      <c r="DF60" s="20"/>
      <c r="DG60" s="20"/>
      <c r="DH60" s="20"/>
      <c r="DI60" s="20"/>
      <c r="DJ60" s="20"/>
      <c r="DK60" s="20"/>
      <c r="DL60" s="20"/>
      <c r="DM60" s="209"/>
      <c r="DN60" s="210"/>
      <c r="DO60" s="210"/>
      <c r="DP60" s="210"/>
      <c r="DQ60" s="210"/>
      <c r="DR60" s="210"/>
      <c r="DS60" s="210"/>
      <c r="DT60" s="216"/>
      <c r="DU60" s="226"/>
      <c r="DV60" s="227"/>
      <c r="DW60" s="228"/>
      <c r="DX60" s="209"/>
      <c r="DY60" s="210"/>
      <c r="DZ60" s="210"/>
      <c r="EA60" s="210"/>
      <c r="EB60" s="210"/>
      <c r="EC60" s="210"/>
      <c r="ED60" s="210"/>
      <c r="EE60" s="211"/>
      <c r="EF60" s="235"/>
      <c r="EG60" s="236"/>
      <c r="EH60" s="236"/>
      <c r="EI60" s="237"/>
    </row>
    <row r="61" spans="1:139" ht="14.1" customHeight="1">
      <c r="A61" s="249"/>
      <c r="B61" s="250"/>
      <c r="C61" s="259"/>
      <c r="D61" s="260"/>
      <c r="E61" s="260"/>
      <c r="F61" s="260"/>
      <c r="G61" s="260"/>
      <c r="H61" s="260"/>
      <c r="I61" s="260"/>
      <c r="J61" s="260"/>
      <c r="K61" s="260"/>
      <c r="L61" s="260"/>
      <c r="M61" s="260"/>
      <c r="N61" s="260"/>
      <c r="O61" s="261"/>
      <c r="P61" s="259"/>
      <c r="Q61" s="260"/>
      <c r="R61" s="260"/>
      <c r="S61" s="260"/>
      <c r="T61" s="260"/>
      <c r="U61" s="260"/>
      <c r="V61" s="260"/>
      <c r="W61" s="260"/>
      <c r="X61" s="260"/>
      <c r="Y61" s="260"/>
      <c r="Z61" s="260"/>
      <c r="AA61" s="260"/>
      <c r="AB61" s="260"/>
      <c r="AC61" s="260"/>
      <c r="AD61" s="260"/>
      <c r="AE61" s="261"/>
      <c r="AF61" s="259"/>
      <c r="AG61" s="260"/>
      <c r="AH61" s="260"/>
      <c r="AI61" s="260"/>
      <c r="AJ61" s="260"/>
      <c r="AK61" s="260"/>
      <c r="AL61" s="260"/>
      <c r="AM61" s="260"/>
      <c r="AN61" s="260"/>
      <c r="AO61" s="260"/>
      <c r="AP61" s="260"/>
      <c r="AQ61" s="260"/>
      <c r="AR61" s="260"/>
      <c r="AS61" s="260"/>
      <c r="AT61" s="260"/>
      <c r="AU61" s="260"/>
      <c r="AV61" s="260"/>
      <c r="AW61" s="260"/>
      <c r="AX61" s="260"/>
      <c r="AY61" s="261"/>
      <c r="AZ61" s="204"/>
      <c r="BA61" s="204"/>
      <c r="BB61" s="205"/>
      <c r="BC61" s="279"/>
      <c r="BD61" s="280"/>
      <c r="BE61" s="281"/>
      <c r="BF61" s="226"/>
      <c r="BG61" s="227"/>
      <c r="BH61" s="228"/>
      <c r="BI61" s="151"/>
      <c r="BJ61" s="150"/>
      <c r="BK61" s="20"/>
      <c r="BL61" s="20"/>
      <c r="BM61" s="20"/>
      <c r="BN61" s="20"/>
      <c r="BO61" s="20"/>
      <c r="BP61" s="20"/>
      <c r="BQ61" s="20"/>
      <c r="BR61" s="20"/>
      <c r="BS61" s="20"/>
      <c r="BT61" s="20"/>
      <c r="BU61" s="20"/>
      <c r="BV61" s="20"/>
      <c r="BW61" s="20"/>
      <c r="BX61" s="209"/>
      <c r="BY61" s="210"/>
      <c r="BZ61" s="210"/>
      <c r="CA61" s="210"/>
      <c r="CB61" s="210"/>
      <c r="CC61" s="210"/>
      <c r="CD61" s="210"/>
      <c r="CE61" s="216"/>
      <c r="CF61" s="226"/>
      <c r="CG61" s="227"/>
      <c r="CH61" s="228"/>
      <c r="CI61" s="209"/>
      <c r="CJ61" s="210"/>
      <c r="CK61" s="210"/>
      <c r="CL61" s="210"/>
      <c r="CM61" s="210"/>
      <c r="CN61" s="210"/>
      <c r="CO61" s="210"/>
      <c r="CP61" s="211"/>
      <c r="CQ61" s="235"/>
      <c r="CR61" s="236"/>
      <c r="CS61" s="236"/>
      <c r="CT61" s="237"/>
      <c r="CU61" s="226"/>
      <c r="CV61" s="227"/>
      <c r="CW61" s="228"/>
      <c r="CX61" s="151"/>
      <c r="CY61" s="150"/>
      <c r="CZ61" s="20"/>
      <c r="DA61" s="20"/>
      <c r="DB61" s="20"/>
      <c r="DC61" s="20"/>
      <c r="DD61" s="20"/>
      <c r="DE61" s="20"/>
      <c r="DF61" s="20"/>
      <c r="DG61" s="20"/>
      <c r="DH61" s="20"/>
      <c r="DI61" s="20"/>
      <c r="DJ61" s="20"/>
      <c r="DK61" s="20"/>
      <c r="DL61" s="20"/>
      <c r="DM61" s="209"/>
      <c r="DN61" s="210"/>
      <c r="DO61" s="210"/>
      <c r="DP61" s="210"/>
      <c r="DQ61" s="210"/>
      <c r="DR61" s="210"/>
      <c r="DS61" s="210"/>
      <c r="DT61" s="216"/>
      <c r="DU61" s="226"/>
      <c r="DV61" s="227"/>
      <c r="DW61" s="228"/>
      <c r="DX61" s="209"/>
      <c r="DY61" s="210"/>
      <c r="DZ61" s="210"/>
      <c r="EA61" s="210"/>
      <c r="EB61" s="210"/>
      <c r="EC61" s="210"/>
      <c r="ED61" s="210"/>
      <c r="EE61" s="211"/>
      <c r="EF61" s="235"/>
      <c r="EG61" s="236"/>
      <c r="EH61" s="236"/>
      <c r="EI61" s="237"/>
    </row>
    <row r="62" spans="1:139" ht="14.1" customHeight="1">
      <c r="A62" s="251"/>
      <c r="B62" s="252"/>
      <c r="C62" s="262"/>
      <c r="D62" s="263"/>
      <c r="E62" s="263"/>
      <c r="F62" s="263"/>
      <c r="G62" s="263"/>
      <c r="H62" s="263"/>
      <c r="I62" s="263"/>
      <c r="J62" s="263"/>
      <c r="K62" s="263"/>
      <c r="L62" s="263"/>
      <c r="M62" s="263"/>
      <c r="N62" s="263"/>
      <c r="O62" s="264"/>
      <c r="P62" s="262"/>
      <c r="Q62" s="263"/>
      <c r="R62" s="263"/>
      <c r="S62" s="263"/>
      <c r="T62" s="263"/>
      <c r="U62" s="263"/>
      <c r="V62" s="263"/>
      <c r="W62" s="263"/>
      <c r="X62" s="263"/>
      <c r="Y62" s="263"/>
      <c r="Z62" s="263"/>
      <c r="AA62" s="263"/>
      <c r="AB62" s="263"/>
      <c r="AC62" s="263"/>
      <c r="AD62" s="263"/>
      <c r="AE62" s="264"/>
      <c r="AF62" s="262"/>
      <c r="AG62" s="263"/>
      <c r="AH62" s="263"/>
      <c r="AI62" s="263"/>
      <c r="AJ62" s="263"/>
      <c r="AK62" s="263"/>
      <c r="AL62" s="263"/>
      <c r="AM62" s="263"/>
      <c r="AN62" s="263"/>
      <c r="AO62" s="263"/>
      <c r="AP62" s="263"/>
      <c r="AQ62" s="263"/>
      <c r="AR62" s="263"/>
      <c r="AS62" s="263"/>
      <c r="AT62" s="263"/>
      <c r="AU62" s="263"/>
      <c r="AV62" s="263"/>
      <c r="AW62" s="263"/>
      <c r="AX62" s="263"/>
      <c r="AY62" s="264"/>
      <c r="AZ62" s="204"/>
      <c r="BA62" s="204"/>
      <c r="BB62" s="205"/>
      <c r="BC62" s="282"/>
      <c r="BD62" s="283"/>
      <c r="BE62" s="284"/>
      <c r="BF62" s="229"/>
      <c r="BG62" s="230"/>
      <c r="BH62" s="231"/>
      <c r="BI62" s="218"/>
      <c r="BJ62" s="219"/>
      <c r="BK62" s="152"/>
      <c r="BL62" s="152"/>
      <c r="BM62" s="152"/>
      <c r="BN62" s="152"/>
      <c r="BO62" s="152"/>
      <c r="BP62" s="152"/>
      <c r="BQ62" s="152"/>
      <c r="BR62" s="152"/>
      <c r="BS62" s="152"/>
      <c r="BT62" s="152"/>
      <c r="BU62" s="152"/>
      <c r="BV62" s="152"/>
      <c r="BW62" s="153"/>
      <c r="BX62" s="212"/>
      <c r="BY62" s="213"/>
      <c r="BZ62" s="213"/>
      <c r="CA62" s="213"/>
      <c r="CB62" s="213"/>
      <c r="CC62" s="213"/>
      <c r="CD62" s="213"/>
      <c r="CE62" s="217"/>
      <c r="CF62" s="229"/>
      <c r="CG62" s="230"/>
      <c r="CH62" s="231"/>
      <c r="CI62" s="212"/>
      <c r="CJ62" s="213"/>
      <c r="CK62" s="213"/>
      <c r="CL62" s="213"/>
      <c r="CM62" s="213"/>
      <c r="CN62" s="213"/>
      <c r="CO62" s="213"/>
      <c r="CP62" s="214"/>
      <c r="CQ62" s="238"/>
      <c r="CR62" s="239"/>
      <c r="CS62" s="239"/>
      <c r="CT62" s="240"/>
      <c r="CU62" s="229"/>
      <c r="CV62" s="230"/>
      <c r="CW62" s="231"/>
      <c r="CX62" s="218"/>
      <c r="CY62" s="219"/>
      <c r="CZ62" s="152"/>
      <c r="DA62" s="152"/>
      <c r="DB62" s="152"/>
      <c r="DC62" s="152"/>
      <c r="DD62" s="152"/>
      <c r="DE62" s="152"/>
      <c r="DF62" s="152"/>
      <c r="DG62" s="152"/>
      <c r="DH62" s="152"/>
      <c r="DI62" s="152"/>
      <c r="DJ62" s="152"/>
      <c r="DK62" s="152"/>
      <c r="DL62" s="153"/>
      <c r="DM62" s="212"/>
      <c r="DN62" s="213"/>
      <c r="DO62" s="213"/>
      <c r="DP62" s="213"/>
      <c r="DQ62" s="213"/>
      <c r="DR62" s="213"/>
      <c r="DS62" s="213"/>
      <c r="DT62" s="217"/>
      <c r="DU62" s="229"/>
      <c r="DV62" s="230"/>
      <c r="DW62" s="231"/>
      <c r="DX62" s="212"/>
      <c r="DY62" s="213"/>
      <c r="DZ62" s="213"/>
      <c r="EA62" s="213"/>
      <c r="EB62" s="213"/>
      <c r="EC62" s="213"/>
      <c r="ED62" s="213"/>
      <c r="EE62" s="214"/>
      <c r="EF62" s="238"/>
      <c r="EG62" s="239"/>
      <c r="EH62" s="239"/>
      <c r="EI62" s="240"/>
    </row>
    <row r="63" spans="1:139" ht="14.1" customHeight="1">
      <c r="A63" s="247">
        <v>8</v>
      </c>
      <c r="B63" s="248"/>
      <c r="C63" s="256"/>
      <c r="D63" s="257"/>
      <c r="E63" s="257"/>
      <c r="F63" s="257"/>
      <c r="G63" s="257"/>
      <c r="H63" s="257"/>
      <c r="I63" s="257"/>
      <c r="J63" s="257"/>
      <c r="K63" s="257"/>
      <c r="L63" s="257"/>
      <c r="M63" s="257"/>
      <c r="N63" s="257"/>
      <c r="O63" s="258"/>
      <c r="P63" s="256"/>
      <c r="Q63" s="257"/>
      <c r="R63" s="257"/>
      <c r="S63" s="257"/>
      <c r="T63" s="257"/>
      <c r="U63" s="257"/>
      <c r="V63" s="257"/>
      <c r="W63" s="257"/>
      <c r="X63" s="257"/>
      <c r="Y63" s="257"/>
      <c r="Z63" s="257"/>
      <c r="AA63" s="257"/>
      <c r="AB63" s="257"/>
      <c r="AC63" s="257"/>
      <c r="AD63" s="257"/>
      <c r="AE63" s="258"/>
      <c r="AF63" s="256"/>
      <c r="AG63" s="257"/>
      <c r="AH63" s="257"/>
      <c r="AI63" s="257"/>
      <c r="AJ63" s="257"/>
      <c r="AK63" s="257"/>
      <c r="AL63" s="257"/>
      <c r="AM63" s="257"/>
      <c r="AN63" s="257"/>
      <c r="AO63" s="257"/>
      <c r="AP63" s="257"/>
      <c r="AQ63" s="257"/>
      <c r="AR63" s="257"/>
      <c r="AS63" s="257"/>
      <c r="AT63" s="257"/>
      <c r="AU63" s="257"/>
      <c r="AV63" s="257"/>
      <c r="AW63" s="257"/>
      <c r="AX63" s="257"/>
      <c r="AY63" s="258"/>
      <c r="AZ63" s="204"/>
      <c r="BA63" s="204"/>
      <c r="BB63" s="205"/>
      <c r="BC63" s="276" t="str">
        <f>IF(AZ63="","0",VLOOKUP(AZ63,設定!$G$26:$H$28,2,FALSE))</f>
        <v>0</v>
      </c>
      <c r="BD63" s="277"/>
      <c r="BE63" s="278"/>
      <c r="BF63" s="223"/>
      <c r="BG63" s="224"/>
      <c r="BH63" s="225"/>
      <c r="BI63" s="148" t="s">
        <v>45</v>
      </c>
      <c r="BJ63" s="20"/>
      <c r="BK63" s="20"/>
      <c r="BL63" s="20"/>
      <c r="BM63" s="20"/>
      <c r="BN63" s="20"/>
      <c r="BO63" s="20"/>
      <c r="BP63" s="20"/>
      <c r="BQ63" s="20"/>
      <c r="BR63" s="20"/>
      <c r="BS63" s="20"/>
      <c r="BT63" s="20"/>
      <c r="BU63" s="20"/>
      <c r="BV63" s="20"/>
      <c r="BW63" s="20"/>
      <c r="BX63" s="206"/>
      <c r="BY63" s="207"/>
      <c r="BZ63" s="207"/>
      <c r="CA63" s="207"/>
      <c r="CB63" s="207"/>
      <c r="CC63" s="207"/>
      <c r="CD63" s="207"/>
      <c r="CE63" s="215"/>
      <c r="CF63" s="223"/>
      <c r="CG63" s="224"/>
      <c r="CH63" s="225"/>
      <c r="CI63" s="206"/>
      <c r="CJ63" s="207"/>
      <c r="CK63" s="207"/>
      <c r="CL63" s="207"/>
      <c r="CM63" s="207"/>
      <c r="CN63" s="207"/>
      <c r="CO63" s="207"/>
      <c r="CP63" s="208"/>
      <c r="CQ63" s="232" t="str">
        <f>IF(BF63*CF63*BC63=0,"",BF63*CF63*BC63)</f>
        <v/>
      </c>
      <c r="CR63" s="233"/>
      <c r="CS63" s="233"/>
      <c r="CT63" s="234"/>
      <c r="CU63" s="223"/>
      <c r="CV63" s="224"/>
      <c r="CW63" s="225"/>
      <c r="CX63" s="148" t="s">
        <v>45</v>
      </c>
      <c r="CY63" s="20"/>
      <c r="CZ63" s="20"/>
      <c r="DA63" s="20"/>
      <c r="DB63" s="20"/>
      <c r="DC63" s="20"/>
      <c r="DD63" s="20"/>
      <c r="DE63" s="20"/>
      <c r="DF63" s="20"/>
      <c r="DG63" s="20"/>
      <c r="DH63" s="20"/>
      <c r="DI63" s="20"/>
      <c r="DJ63" s="20"/>
      <c r="DK63" s="20"/>
      <c r="DL63" s="20"/>
      <c r="DM63" s="206"/>
      <c r="DN63" s="207"/>
      <c r="DO63" s="207"/>
      <c r="DP63" s="207"/>
      <c r="DQ63" s="207"/>
      <c r="DR63" s="207"/>
      <c r="DS63" s="207"/>
      <c r="DT63" s="215"/>
      <c r="DU63" s="223"/>
      <c r="DV63" s="224"/>
      <c r="DW63" s="225"/>
      <c r="DX63" s="206"/>
      <c r="DY63" s="207"/>
      <c r="DZ63" s="207"/>
      <c r="EA63" s="207"/>
      <c r="EB63" s="207"/>
      <c r="EC63" s="207"/>
      <c r="ED63" s="207"/>
      <c r="EE63" s="208"/>
      <c r="EF63" s="232" t="str">
        <f>IF(CU63*DU63*BC63=0,"",CU63*DU63*BC63)</f>
        <v/>
      </c>
      <c r="EG63" s="233"/>
      <c r="EH63" s="233"/>
      <c r="EI63" s="234"/>
    </row>
    <row r="64" spans="1:139" ht="14.1" customHeight="1">
      <c r="A64" s="249"/>
      <c r="B64" s="250"/>
      <c r="C64" s="259"/>
      <c r="D64" s="260"/>
      <c r="E64" s="260"/>
      <c r="F64" s="260"/>
      <c r="G64" s="260"/>
      <c r="H64" s="260"/>
      <c r="I64" s="260"/>
      <c r="J64" s="260"/>
      <c r="K64" s="260"/>
      <c r="L64" s="260"/>
      <c r="M64" s="260"/>
      <c r="N64" s="260"/>
      <c r="O64" s="261"/>
      <c r="P64" s="259"/>
      <c r="Q64" s="260"/>
      <c r="R64" s="260"/>
      <c r="S64" s="260"/>
      <c r="T64" s="260"/>
      <c r="U64" s="260"/>
      <c r="V64" s="260"/>
      <c r="W64" s="260"/>
      <c r="X64" s="260"/>
      <c r="Y64" s="260"/>
      <c r="Z64" s="260"/>
      <c r="AA64" s="260"/>
      <c r="AB64" s="260"/>
      <c r="AC64" s="260"/>
      <c r="AD64" s="260"/>
      <c r="AE64" s="261"/>
      <c r="AF64" s="259"/>
      <c r="AG64" s="260"/>
      <c r="AH64" s="260"/>
      <c r="AI64" s="260"/>
      <c r="AJ64" s="260"/>
      <c r="AK64" s="260"/>
      <c r="AL64" s="260"/>
      <c r="AM64" s="260"/>
      <c r="AN64" s="260"/>
      <c r="AO64" s="260"/>
      <c r="AP64" s="260"/>
      <c r="AQ64" s="260"/>
      <c r="AR64" s="260"/>
      <c r="AS64" s="260"/>
      <c r="AT64" s="260"/>
      <c r="AU64" s="260"/>
      <c r="AV64" s="260"/>
      <c r="AW64" s="260"/>
      <c r="AX64" s="260"/>
      <c r="AY64" s="261"/>
      <c r="AZ64" s="204"/>
      <c r="BA64" s="204"/>
      <c r="BB64" s="205"/>
      <c r="BC64" s="279"/>
      <c r="BD64" s="280"/>
      <c r="BE64" s="281"/>
      <c r="BF64" s="226"/>
      <c r="BG64" s="227"/>
      <c r="BH64" s="228"/>
      <c r="BI64" s="149"/>
      <c r="BJ64" s="150"/>
      <c r="BK64" s="20"/>
      <c r="BL64" s="20"/>
      <c r="BM64" s="20"/>
      <c r="BN64" s="20"/>
      <c r="BO64" s="20"/>
      <c r="BP64" s="20"/>
      <c r="BQ64" s="20"/>
      <c r="BR64" s="20"/>
      <c r="BS64" s="20"/>
      <c r="BT64" s="20"/>
      <c r="BU64" s="20"/>
      <c r="BV64" s="20"/>
      <c r="BW64" s="20"/>
      <c r="BX64" s="209"/>
      <c r="BY64" s="210"/>
      <c r="BZ64" s="210"/>
      <c r="CA64" s="210"/>
      <c r="CB64" s="210"/>
      <c r="CC64" s="210"/>
      <c r="CD64" s="210"/>
      <c r="CE64" s="216"/>
      <c r="CF64" s="226"/>
      <c r="CG64" s="227"/>
      <c r="CH64" s="228"/>
      <c r="CI64" s="209"/>
      <c r="CJ64" s="210"/>
      <c r="CK64" s="210"/>
      <c r="CL64" s="210"/>
      <c r="CM64" s="210"/>
      <c r="CN64" s="210"/>
      <c r="CO64" s="210"/>
      <c r="CP64" s="211"/>
      <c r="CQ64" s="235"/>
      <c r="CR64" s="236"/>
      <c r="CS64" s="236"/>
      <c r="CT64" s="237"/>
      <c r="CU64" s="226"/>
      <c r="CV64" s="227"/>
      <c r="CW64" s="228"/>
      <c r="CX64" s="149"/>
      <c r="CY64" s="150"/>
      <c r="CZ64" s="20"/>
      <c r="DA64" s="20"/>
      <c r="DB64" s="20"/>
      <c r="DC64" s="20"/>
      <c r="DD64" s="20"/>
      <c r="DE64" s="20"/>
      <c r="DF64" s="20"/>
      <c r="DG64" s="20"/>
      <c r="DH64" s="20"/>
      <c r="DI64" s="20"/>
      <c r="DJ64" s="20"/>
      <c r="DK64" s="20"/>
      <c r="DL64" s="20"/>
      <c r="DM64" s="209"/>
      <c r="DN64" s="210"/>
      <c r="DO64" s="210"/>
      <c r="DP64" s="210"/>
      <c r="DQ64" s="210"/>
      <c r="DR64" s="210"/>
      <c r="DS64" s="210"/>
      <c r="DT64" s="216"/>
      <c r="DU64" s="226"/>
      <c r="DV64" s="227"/>
      <c r="DW64" s="228"/>
      <c r="DX64" s="209"/>
      <c r="DY64" s="210"/>
      <c r="DZ64" s="210"/>
      <c r="EA64" s="210"/>
      <c r="EB64" s="210"/>
      <c r="EC64" s="210"/>
      <c r="ED64" s="210"/>
      <c r="EE64" s="211"/>
      <c r="EF64" s="235"/>
      <c r="EG64" s="236"/>
      <c r="EH64" s="236"/>
      <c r="EI64" s="237"/>
    </row>
    <row r="65" spans="1:139" ht="14.1" customHeight="1">
      <c r="A65" s="249"/>
      <c r="B65" s="250"/>
      <c r="C65" s="259"/>
      <c r="D65" s="260"/>
      <c r="E65" s="260"/>
      <c r="F65" s="260"/>
      <c r="G65" s="260"/>
      <c r="H65" s="260"/>
      <c r="I65" s="260"/>
      <c r="J65" s="260"/>
      <c r="K65" s="260"/>
      <c r="L65" s="260"/>
      <c r="M65" s="260"/>
      <c r="N65" s="260"/>
      <c r="O65" s="261"/>
      <c r="P65" s="259"/>
      <c r="Q65" s="260"/>
      <c r="R65" s="260"/>
      <c r="S65" s="260"/>
      <c r="T65" s="260"/>
      <c r="U65" s="260"/>
      <c r="V65" s="260"/>
      <c r="W65" s="260"/>
      <c r="X65" s="260"/>
      <c r="Y65" s="260"/>
      <c r="Z65" s="260"/>
      <c r="AA65" s="260"/>
      <c r="AB65" s="260"/>
      <c r="AC65" s="260"/>
      <c r="AD65" s="260"/>
      <c r="AE65" s="261"/>
      <c r="AF65" s="259"/>
      <c r="AG65" s="260"/>
      <c r="AH65" s="260"/>
      <c r="AI65" s="260"/>
      <c r="AJ65" s="260"/>
      <c r="AK65" s="260"/>
      <c r="AL65" s="260"/>
      <c r="AM65" s="260"/>
      <c r="AN65" s="260"/>
      <c r="AO65" s="260"/>
      <c r="AP65" s="260"/>
      <c r="AQ65" s="260"/>
      <c r="AR65" s="260"/>
      <c r="AS65" s="260"/>
      <c r="AT65" s="260"/>
      <c r="AU65" s="260"/>
      <c r="AV65" s="260"/>
      <c r="AW65" s="260"/>
      <c r="AX65" s="260"/>
      <c r="AY65" s="261"/>
      <c r="AZ65" s="204"/>
      <c r="BA65" s="204"/>
      <c r="BB65" s="205"/>
      <c r="BC65" s="279"/>
      <c r="BD65" s="280"/>
      <c r="BE65" s="281"/>
      <c r="BF65" s="226"/>
      <c r="BG65" s="227"/>
      <c r="BH65" s="228"/>
      <c r="BI65" s="149" t="s">
        <v>46</v>
      </c>
      <c r="BJ65" s="150"/>
      <c r="BK65" s="20"/>
      <c r="BL65" s="20"/>
      <c r="BM65" s="20"/>
      <c r="BN65" s="20"/>
      <c r="BO65" s="20"/>
      <c r="BP65" s="20"/>
      <c r="BQ65" s="20"/>
      <c r="BR65" s="20"/>
      <c r="BS65" s="20"/>
      <c r="BT65" s="20"/>
      <c r="BU65" s="20"/>
      <c r="BV65" s="20"/>
      <c r="BW65" s="20"/>
      <c r="BX65" s="209"/>
      <c r="BY65" s="210"/>
      <c r="BZ65" s="210"/>
      <c r="CA65" s="210"/>
      <c r="CB65" s="210"/>
      <c r="CC65" s="210"/>
      <c r="CD65" s="210"/>
      <c r="CE65" s="216"/>
      <c r="CF65" s="226"/>
      <c r="CG65" s="227"/>
      <c r="CH65" s="228"/>
      <c r="CI65" s="209"/>
      <c r="CJ65" s="210"/>
      <c r="CK65" s="210"/>
      <c r="CL65" s="210"/>
      <c r="CM65" s="210"/>
      <c r="CN65" s="210"/>
      <c r="CO65" s="210"/>
      <c r="CP65" s="211"/>
      <c r="CQ65" s="235"/>
      <c r="CR65" s="236"/>
      <c r="CS65" s="236"/>
      <c r="CT65" s="237"/>
      <c r="CU65" s="226"/>
      <c r="CV65" s="227"/>
      <c r="CW65" s="228"/>
      <c r="CX65" s="149" t="s">
        <v>46</v>
      </c>
      <c r="CY65" s="150"/>
      <c r="CZ65" s="20"/>
      <c r="DA65" s="20"/>
      <c r="DB65" s="20"/>
      <c r="DC65" s="20"/>
      <c r="DD65" s="20"/>
      <c r="DE65" s="20"/>
      <c r="DF65" s="20"/>
      <c r="DG65" s="20"/>
      <c r="DH65" s="20"/>
      <c r="DI65" s="20"/>
      <c r="DJ65" s="20"/>
      <c r="DK65" s="20"/>
      <c r="DL65" s="20"/>
      <c r="DM65" s="209"/>
      <c r="DN65" s="210"/>
      <c r="DO65" s="210"/>
      <c r="DP65" s="210"/>
      <c r="DQ65" s="210"/>
      <c r="DR65" s="210"/>
      <c r="DS65" s="210"/>
      <c r="DT65" s="216"/>
      <c r="DU65" s="226"/>
      <c r="DV65" s="227"/>
      <c r="DW65" s="228"/>
      <c r="DX65" s="209"/>
      <c r="DY65" s="210"/>
      <c r="DZ65" s="210"/>
      <c r="EA65" s="210"/>
      <c r="EB65" s="210"/>
      <c r="EC65" s="210"/>
      <c r="ED65" s="210"/>
      <c r="EE65" s="211"/>
      <c r="EF65" s="235"/>
      <c r="EG65" s="236"/>
      <c r="EH65" s="236"/>
      <c r="EI65" s="237"/>
    </row>
    <row r="66" spans="1:139" ht="14.1" customHeight="1">
      <c r="A66" s="249"/>
      <c r="B66" s="250"/>
      <c r="C66" s="259"/>
      <c r="D66" s="260"/>
      <c r="E66" s="260"/>
      <c r="F66" s="260"/>
      <c r="G66" s="260"/>
      <c r="H66" s="260"/>
      <c r="I66" s="260"/>
      <c r="J66" s="260"/>
      <c r="K66" s="260"/>
      <c r="L66" s="260"/>
      <c r="M66" s="260"/>
      <c r="N66" s="260"/>
      <c r="O66" s="261"/>
      <c r="P66" s="259"/>
      <c r="Q66" s="260"/>
      <c r="R66" s="260"/>
      <c r="S66" s="260"/>
      <c r="T66" s="260"/>
      <c r="U66" s="260"/>
      <c r="V66" s="260"/>
      <c r="W66" s="260"/>
      <c r="X66" s="260"/>
      <c r="Y66" s="260"/>
      <c r="Z66" s="260"/>
      <c r="AA66" s="260"/>
      <c r="AB66" s="260"/>
      <c r="AC66" s="260"/>
      <c r="AD66" s="260"/>
      <c r="AE66" s="261"/>
      <c r="AF66" s="259"/>
      <c r="AG66" s="260"/>
      <c r="AH66" s="260"/>
      <c r="AI66" s="260"/>
      <c r="AJ66" s="260"/>
      <c r="AK66" s="260"/>
      <c r="AL66" s="260"/>
      <c r="AM66" s="260"/>
      <c r="AN66" s="260"/>
      <c r="AO66" s="260"/>
      <c r="AP66" s="260"/>
      <c r="AQ66" s="260"/>
      <c r="AR66" s="260"/>
      <c r="AS66" s="260"/>
      <c r="AT66" s="260"/>
      <c r="AU66" s="260"/>
      <c r="AV66" s="260"/>
      <c r="AW66" s="260"/>
      <c r="AX66" s="260"/>
      <c r="AY66" s="261"/>
      <c r="AZ66" s="204"/>
      <c r="BA66" s="204"/>
      <c r="BB66" s="205"/>
      <c r="BC66" s="279"/>
      <c r="BD66" s="280"/>
      <c r="BE66" s="281"/>
      <c r="BF66" s="226"/>
      <c r="BG66" s="227"/>
      <c r="BH66" s="228"/>
      <c r="BI66" s="151"/>
      <c r="BJ66" s="150"/>
      <c r="BK66" s="20"/>
      <c r="BL66" s="20"/>
      <c r="BM66" s="20"/>
      <c r="BN66" s="20"/>
      <c r="BO66" s="20"/>
      <c r="BP66" s="20"/>
      <c r="BQ66" s="20"/>
      <c r="BR66" s="20"/>
      <c r="BS66" s="20"/>
      <c r="BT66" s="20"/>
      <c r="BU66" s="20"/>
      <c r="BV66" s="20"/>
      <c r="BW66" s="20"/>
      <c r="BX66" s="209"/>
      <c r="BY66" s="210"/>
      <c r="BZ66" s="210"/>
      <c r="CA66" s="210"/>
      <c r="CB66" s="210"/>
      <c r="CC66" s="210"/>
      <c r="CD66" s="210"/>
      <c r="CE66" s="216"/>
      <c r="CF66" s="226"/>
      <c r="CG66" s="227"/>
      <c r="CH66" s="228"/>
      <c r="CI66" s="209"/>
      <c r="CJ66" s="210"/>
      <c r="CK66" s="210"/>
      <c r="CL66" s="210"/>
      <c r="CM66" s="210"/>
      <c r="CN66" s="210"/>
      <c r="CO66" s="210"/>
      <c r="CP66" s="211"/>
      <c r="CQ66" s="235"/>
      <c r="CR66" s="236"/>
      <c r="CS66" s="236"/>
      <c r="CT66" s="237"/>
      <c r="CU66" s="226"/>
      <c r="CV66" s="227"/>
      <c r="CW66" s="228"/>
      <c r="CX66" s="151"/>
      <c r="CY66" s="150"/>
      <c r="CZ66" s="20"/>
      <c r="DA66" s="20"/>
      <c r="DB66" s="20"/>
      <c r="DC66" s="20"/>
      <c r="DD66" s="20"/>
      <c r="DE66" s="20"/>
      <c r="DF66" s="20"/>
      <c r="DG66" s="20"/>
      <c r="DH66" s="20"/>
      <c r="DI66" s="20"/>
      <c r="DJ66" s="20"/>
      <c r="DK66" s="20"/>
      <c r="DL66" s="20"/>
      <c r="DM66" s="209"/>
      <c r="DN66" s="210"/>
      <c r="DO66" s="210"/>
      <c r="DP66" s="210"/>
      <c r="DQ66" s="210"/>
      <c r="DR66" s="210"/>
      <c r="DS66" s="210"/>
      <c r="DT66" s="216"/>
      <c r="DU66" s="226"/>
      <c r="DV66" s="227"/>
      <c r="DW66" s="228"/>
      <c r="DX66" s="209"/>
      <c r="DY66" s="210"/>
      <c r="DZ66" s="210"/>
      <c r="EA66" s="210"/>
      <c r="EB66" s="210"/>
      <c r="EC66" s="210"/>
      <c r="ED66" s="210"/>
      <c r="EE66" s="211"/>
      <c r="EF66" s="235"/>
      <c r="EG66" s="236"/>
      <c r="EH66" s="236"/>
      <c r="EI66" s="237"/>
    </row>
    <row r="67" spans="1:139" ht="14.1" customHeight="1">
      <c r="A67" s="249"/>
      <c r="B67" s="250"/>
      <c r="C67" s="259"/>
      <c r="D67" s="260"/>
      <c r="E67" s="260"/>
      <c r="F67" s="260"/>
      <c r="G67" s="260"/>
      <c r="H67" s="260"/>
      <c r="I67" s="260"/>
      <c r="J67" s="260"/>
      <c r="K67" s="260"/>
      <c r="L67" s="260"/>
      <c r="M67" s="260"/>
      <c r="N67" s="260"/>
      <c r="O67" s="261"/>
      <c r="P67" s="259"/>
      <c r="Q67" s="260"/>
      <c r="R67" s="260"/>
      <c r="S67" s="260"/>
      <c r="T67" s="260"/>
      <c r="U67" s="260"/>
      <c r="V67" s="260"/>
      <c r="W67" s="260"/>
      <c r="X67" s="260"/>
      <c r="Y67" s="260"/>
      <c r="Z67" s="260"/>
      <c r="AA67" s="260"/>
      <c r="AB67" s="260"/>
      <c r="AC67" s="260"/>
      <c r="AD67" s="260"/>
      <c r="AE67" s="261"/>
      <c r="AF67" s="259"/>
      <c r="AG67" s="260"/>
      <c r="AH67" s="260"/>
      <c r="AI67" s="260"/>
      <c r="AJ67" s="260"/>
      <c r="AK67" s="260"/>
      <c r="AL67" s="260"/>
      <c r="AM67" s="260"/>
      <c r="AN67" s="260"/>
      <c r="AO67" s="260"/>
      <c r="AP67" s="260"/>
      <c r="AQ67" s="260"/>
      <c r="AR67" s="260"/>
      <c r="AS67" s="260"/>
      <c r="AT67" s="260"/>
      <c r="AU67" s="260"/>
      <c r="AV67" s="260"/>
      <c r="AW67" s="260"/>
      <c r="AX67" s="260"/>
      <c r="AY67" s="261"/>
      <c r="AZ67" s="204"/>
      <c r="BA67" s="204"/>
      <c r="BB67" s="205"/>
      <c r="BC67" s="279"/>
      <c r="BD67" s="280"/>
      <c r="BE67" s="281"/>
      <c r="BF67" s="226"/>
      <c r="BG67" s="227"/>
      <c r="BH67" s="228"/>
      <c r="BI67" s="149" t="s">
        <v>47</v>
      </c>
      <c r="BJ67" s="150"/>
      <c r="BK67" s="20"/>
      <c r="BL67" s="20"/>
      <c r="BM67" s="20"/>
      <c r="BN67" s="20"/>
      <c r="BO67" s="20"/>
      <c r="BP67" s="20"/>
      <c r="BQ67" s="20"/>
      <c r="BR67" s="20"/>
      <c r="BS67" s="20"/>
      <c r="BT67" s="20"/>
      <c r="BU67" s="20"/>
      <c r="BV67" s="20"/>
      <c r="BW67" s="20"/>
      <c r="BX67" s="209"/>
      <c r="BY67" s="210"/>
      <c r="BZ67" s="210"/>
      <c r="CA67" s="210"/>
      <c r="CB67" s="210"/>
      <c r="CC67" s="210"/>
      <c r="CD67" s="210"/>
      <c r="CE67" s="216"/>
      <c r="CF67" s="226"/>
      <c r="CG67" s="227"/>
      <c r="CH67" s="228"/>
      <c r="CI67" s="209"/>
      <c r="CJ67" s="210"/>
      <c r="CK67" s="210"/>
      <c r="CL67" s="210"/>
      <c r="CM67" s="210"/>
      <c r="CN67" s="210"/>
      <c r="CO67" s="210"/>
      <c r="CP67" s="211"/>
      <c r="CQ67" s="235"/>
      <c r="CR67" s="236"/>
      <c r="CS67" s="236"/>
      <c r="CT67" s="237"/>
      <c r="CU67" s="226"/>
      <c r="CV67" s="227"/>
      <c r="CW67" s="228"/>
      <c r="CX67" s="149" t="s">
        <v>47</v>
      </c>
      <c r="CY67" s="150"/>
      <c r="CZ67" s="20"/>
      <c r="DA67" s="20"/>
      <c r="DB67" s="20"/>
      <c r="DC67" s="20"/>
      <c r="DD67" s="20"/>
      <c r="DE67" s="20"/>
      <c r="DF67" s="20"/>
      <c r="DG67" s="20"/>
      <c r="DH67" s="20"/>
      <c r="DI67" s="20"/>
      <c r="DJ67" s="20"/>
      <c r="DK67" s="20"/>
      <c r="DL67" s="20"/>
      <c r="DM67" s="209"/>
      <c r="DN67" s="210"/>
      <c r="DO67" s="210"/>
      <c r="DP67" s="210"/>
      <c r="DQ67" s="210"/>
      <c r="DR67" s="210"/>
      <c r="DS67" s="210"/>
      <c r="DT67" s="216"/>
      <c r="DU67" s="226"/>
      <c r="DV67" s="227"/>
      <c r="DW67" s="228"/>
      <c r="DX67" s="209"/>
      <c r="DY67" s="210"/>
      <c r="DZ67" s="210"/>
      <c r="EA67" s="210"/>
      <c r="EB67" s="210"/>
      <c r="EC67" s="210"/>
      <c r="ED67" s="210"/>
      <c r="EE67" s="211"/>
      <c r="EF67" s="235"/>
      <c r="EG67" s="236"/>
      <c r="EH67" s="236"/>
      <c r="EI67" s="237"/>
    </row>
    <row r="68" spans="1:139" ht="14.1" customHeight="1">
      <c r="A68" s="249"/>
      <c r="B68" s="250"/>
      <c r="C68" s="259"/>
      <c r="D68" s="260"/>
      <c r="E68" s="260"/>
      <c r="F68" s="260"/>
      <c r="G68" s="260"/>
      <c r="H68" s="260"/>
      <c r="I68" s="260"/>
      <c r="J68" s="260"/>
      <c r="K68" s="260"/>
      <c r="L68" s="260"/>
      <c r="M68" s="260"/>
      <c r="N68" s="260"/>
      <c r="O68" s="261"/>
      <c r="P68" s="259"/>
      <c r="Q68" s="260"/>
      <c r="R68" s="260"/>
      <c r="S68" s="260"/>
      <c r="T68" s="260"/>
      <c r="U68" s="260"/>
      <c r="V68" s="260"/>
      <c r="W68" s="260"/>
      <c r="X68" s="260"/>
      <c r="Y68" s="260"/>
      <c r="Z68" s="260"/>
      <c r="AA68" s="260"/>
      <c r="AB68" s="260"/>
      <c r="AC68" s="260"/>
      <c r="AD68" s="260"/>
      <c r="AE68" s="261"/>
      <c r="AF68" s="259"/>
      <c r="AG68" s="260"/>
      <c r="AH68" s="260"/>
      <c r="AI68" s="260"/>
      <c r="AJ68" s="260"/>
      <c r="AK68" s="260"/>
      <c r="AL68" s="260"/>
      <c r="AM68" s="260"/>
      <c r="AN68" s="260"/>
      <c r="AO68" s="260"/>
      <c r="AP68" s="260"/>
      <c r="AQ68" s="260"/>
      <c r="AR68" s="260"/>
      <c r="AS68" s="260"/>
      <c r="AT68" s="260"/>
      <c r="AU68" s="260"/>
      <c r="AV68" s="260"/>
      <c r="AW68" s="260"/>
      <c r="AX68" s="260"/>
      <c r="AY68" s="261"/>
      <c r="AZ68" s="204"/>
      <c r="BA68" s="204"/>
      <c r="BB68" s="205"/>
      <c r="BC68" s="279"/>
      <c r="BD68" s="280"/>
      <c r="BE68" s="281"/>
      <c r="BF68" s="226"/>
      <c r="BG68" s="227"/>
      <c r="BH68" s="228"/>
      <c r="BI68" s="151"/>
      <c r="BJ68" s="150"/>
      <c r="BK68" s="20"/>
      <c r="BL68" s="20"/>
      <c r="BM68" s="20"/>
      <c r="BN68" s="20"/>
      <c r="BO68" s="20"/>
      <c r="BP68" s="20"/>
      <c r="BQ68" s="20"/>
      <c r="BR68" s="20"/>
      <c r="BS68" s="20"/>
      <c r="BT68" s="20"/>
      <c r="BU68" s="20"/>
      <c r="BV68" s="20"/>
      <c r="BW68" s="20"/>
      <c r="BX68" s="209"/>
      <c r="BY68" s="210"/>
      <c r="BZ68" s="210"/>
      <c r="CA68" s="210"/>
      <c r="CB68" s="210"/>
      <c r="CC68" s="210"/>
      <c r="CD68" s="210"/>
      <c r="CE68" s="216"/>
      <c r="CF68" s="226"/>
      <c r="CG68" s="227"/>
      <c r="CH68" s="228"/>
      <c r="CI68" s="209"/>
      <c r="CJ68" s="210"/>
      <c r="CK68" s="210"/>
      <c r="CL68" s="210"/>
      <c r="CM68" s="210"/>
      <c r="CN68" s="210"/>
      <c r="CO68" s="210"/>
      <c r="CP68" s="211"/>
      <c r="CQ68" s="235"/>
      <c r="CR68" s="236"/>
      <c r="CS68" s="236"/>
      <c r="CT68" s="237"/>
      <c r="CU68" s="226"/>
      <c r="CV68" s="227"/>
      <c r="CW68" s="228"/>
      <c r="CX68" s="151"/>
      <c r="CY68" s="150"/>
      <c r="CZ68" s="20"/>
      <c r="DA68" s="20"/>
      <c r="DB68" s="20"/>
      <c r="DC68" s="20"/>
      <c r="DD68" s="20"/>
      <c r="DE68" s="20"/>
      <c r="DF68" s="20"/>
      <c r="DG68" s="20"/>
      <c r="DH68" s="20"/>
      <c r="DI68" s="20"/>
      <c r="DJ68" s="20"/>
      <c r="DK68" s="20"/>
      <c r="DL68" s="20"/>
      <c r="DM68" s="209"/>
      <c r="DN68" s="210"/>
      <c r="DO68" s="210"/>
      <c r="DP68" s="210"/>
      <c r="DQ68" s="210"/>
      <c r="DR68" s="210"/>
      <c r="DS68" s="210"/>
      <c r="DT68" s="216"/>
      <c r="DU68" s="226"/>
      <c r="DV68" s="227"/>
      <c r="DW68" s="228"/>
      <c r="DX68" s="209"/>
      <c r="DY68" s="210"/>
      <c r="DZ68" s="210"/>
      <c r="EA68" s="210"/>
      <c r="EB68" s="210"/>
      <c r="EC68" s="210"/>
      <c r="ED68" s="210"/>
      <c r="EE68" s="211"/>
      <c r="EF68" s="235"/>
      <c r="EG68" s="236"/>
      <c r="EH68" s="236"/>
      <c r="EI68" s="237"/>
    </row>
    <row r="69" spans="1:139" ht="14.1" customHeight="1">
      <c r="A69" s="251"/>
      <c r="B69" s="252"/>
      <c r="C69" s="262"/>
      <c r="D69" s="263"/>
      <c r="E69" s="263"/>
      <c r="F69" s="263"/>
      <c r="G69" s="263"/>
      <c r="H69" s="263"/>
      <c r="I69" s="263"/>
      <c r="J69" s="263"/>
      <c r="K69" s="263"/>
      <c r="L69" s="263"/>
      <c r="M69" s="263"/>
      <c r="N69" s="263"/>
      <c r="O69" s="264"/>
      <c r="P69" s="262"/>
      <c r="Q69" s="263"/>
      <c r="R69" s="263"/>
      <c r="S69" s="263"/>
      <c r="T69" s="263"/>
      <c r="U69" s="263"/>
      <c r="V69" s="263"/>
      <c r="W69" s="263"/>
      <c r="X69" s="263"/>
      <c r="Y69" s="263"/>
      <c r="Z69" s="263"/>
      <c r="AA69" s="263"/>
      <c r="AB69" s="263"/>
      <c r="AC69" s="263"/>
      <c r="AD69" s="263"/>
      <c r="AE69" s="264"/>
      <c r="AF69" s="262"/>
      <c r="AG69" s="263"/>
      <c r="AH69" s="263"/>
      <c r="AI69" s="263"/>
      <c r="AJ69" s="263"/>
      <c r="AK69" s="263"/>
      <c r="AL69" s="263"/>
      <c r="AM69" s="263"/>
      <c r="AN69" s="263"/>
      <c r="AO69" s="263"/>
      <c r="AP69" s="263"/>
      <c r="AQ69" s="263"/>
      <c r="AR69" s="263"/>
      <c r="AS69" s="263"/>
      <c r="AT69" s="263"/>
      <c r="AU69" s="263"/>
      <c r="AV69" s="263"/>
      <c r="AW69" s="263"/>
      <c r="AX69" s="263"/>
      <c r="AY69" s="264"/>
      <c r="AZ69" s="204"/>
      <c r="BA69" s="204"/>
      <c r="BB69" s="205"/>
      <c r="BC69" s="282"/>
      <c r="BD69" s="283"/>
      <c r="BE69" s="284"/>
      <c r="BF69" s="229"/>
      <c r="BG69" s="230"/>
      <c r="BH69" s="231"/>
      <c r="BI69" s="218"/>
      <c r="BJ69" s="219"/>
      <c r="BK69" s="152"/>
      <c r="BL69" s="152"/>
      <c r="BM69" s="152"/>
      <c r="BN69" s="152"/>
      <c r="BO69" s="152"/>
      <c r="BP69" s="152"/>
      <c r="BQ69" s="152"/>
      <c r="BR69" s="152"/>
      <c r="BS69" s="152"/>
      <c r="BT69" s="152"/>
      <c r="BU69" s="152"/>
      <c r="BV69" s="152"/>
      <c r="BW69" s="153"/>
      <c r="BX69" s="212"/>
      <c r="BY69" s="213"/>
      <c r="BZ69" s="213"/>
      <c r="CA69" s="213"/>
      <c r="CB69" s="213"/>
      <c r="CC69" s="213"/>
      <c r="CD69" s="213"/>
      <c r="CE69" s="217"/>
      <c r="CF69" s="229"/>
      <c r="CG69" s="230"/>
      <c r="CH69" s="231"/>
      <c r="CI69" s="212"/>
      <c r="CJ69" s="213"/>
      <c r="CK69" s="213"/>
      <c r="CL69" s="213"/>
      <c r="CM69" s="213"/>
      <c r="CN69" s="213"/>
      <c r="CO69" s="213"/>
      <c r="CP69" s="214"/>
      <c r="CQ69" s="238"/>
      <c r="CR69" s="239"/>
      <c r="CS69" s="239"/>
      <c r="CT69" s="240"/>
      <c r="CU69" s="229"/>
      <c r="CV69" s="230"/>
      <c r="CW69" s="231"/>
      <c r="CX69" s="218"/>
      <c r="CY69" s="219"/>
      <c r="CZ69" s="152"/>
      <c r="DA69" s="152"/>
      <c r="DB69" s="152"/>
      <c r="DC69" s="152"/>
      <c r="DD69" s="152"/>
      <c r="DE69" s="152"/>
      <c r="DF69" s="152"/>
      <c r="DG69" s="152"/>
      <c r="DH69" s="152"/>
      <c r="DI69" s="152"/>
      <c r="DJ69" s="152"/>
      <c r="DK69" s="152"/>
      <c r="DL69" s="153"/>
      <c r="DM69" s="212"/>
      <c r="DN69" s="213"/>
      <c r="DO69" s="213"/>
      <c r="DP69" s="213"/>
      <c r="DQ69" s="213"/>
      <c r="DR69" s="213"/>
      <c r="DS69" s="213"/>
      <c r="DT69" s="217"/>
      <c r="DU69" s="229"/>
      <c r="DV69" s="230"/>
      <c r="DW69" s="231"/>
      <c r="DX69" s="212"/>
      <c r="DY69" s="213"/>
      <c r="DZ69" s="213"/>
      <c r="EA69" s="213"/>
      <c r="EB69" s="213"/>
      <c r="EC69" s="213"/>
      <c r="ED69" s="213"/>
      <c r="EE69" s="214"/>
      <c r="EF69" s="238"/>
      <c r="EG69" s="239"/>
      <c r="EH69" s="239"/>
      <c r="EI69" s="240"/>
    </row>
    <row r="70" spans="1:139" ht="14.1" customHeight="1">
      <c r="A70" s="247">
        <v>9</v>
      </c>
      <c r="B70" s="248"/>
      <c r="C70" s="256"/>
      <c r="D70" s="257"/>
      <c r="E70" s="257"/>
      <c r="F70" s="257"/>
      <c r="G70" s="257"/>
      <c r="H70" s="257"/>
      <c r="I70" s="257"/>
      <c r="J70" s="257"/>
      <c r="K70" s="257"/>
      <c r="L70" s="257"/>
      <c r="M70" s="257"/>
      <c r="N70" s="257"/>
      <c r="O70" s="258"/>
      <c r="P70" s="256"/>
      <c r="Q70" s="257"/>
      <c r="R70" s="257"/>
      <c r="S70" s="257"/>
      <c r="T70" s="257"/>
      <c r="U70" s="257"/>
      <c r="V70" s="257"/>
      <c r="W70" s="257"/>
      <c r="X70" s="257"/>
      <c r="Y70" s="257"/>
      <c r="Z70" s="257"/>
      <c r="AA70" s="257"/>
      <c r="AB70" s="257"/>
      <c r="AC70" s="257"/>
      <c r="AD70" s="257"/>
      <c r="AE70" s="258"/>
      <c r="AF70" s="256"/>
      <c r="AG70" s="257"/>
      <c r="AH70" s="257"/>
      <c r="AI70" s="257"/>
      <c r="AJ70" s="257"/>
      <c r="AK70" s="257"/>
      <c r="AL70" s="257"/>
      <c r="AM70" s="257"/>
      <c r="AN70" s="257"/>
      <c r="AO70" s="257"/>
      <c r="AP70" s="257"/>
      <c r="AQ70" s="257"/>
      <c r="AR70" s="257"/>
      <c r="AS70" s="257"/>
      <c r="AT70" s="257"/>
      <c r="AU70" s="257"/>
      <c r="AV70" s="257"/>
      <c r="AW70" s="257"/>
      <c r="AX70" s="257"/>
      <c r="AY70" s="258"/>
      <c r="AZ70" s="204"/>
      <c r="BA70" s="204"/>
      <c r="BB70" s="205"/>
      <c r="BC70" s="276" t="str">
        <f>IF(AZ70="","0",VLOOKUP(AZ70,設定!$G$26:$H$28,2,FALSE))</f>
        <v>0</v>
      </c>
      <c r="BD70" s="277"/>
      <c r="BE70" s="278"/>
      <c r="BF70" s="223"/>
      <c r="BG70" s="224"/>
      <c r="BH70" s="225"/>
      <c r="BI70" s="148" t="s">
        <v>45</v>
      </c>
      <c r="BJ70" s="20"/>
      <c r="BK70" s="20"/>
      <c r="BL70" s="20"/>
      <c r="BM70" s="20"/>
      <c r="BN70" s="20"/>
      <c r="BO70" s="20"/>
      <c r="BP70" s="20"/>
      <c r="BQ70" s="20"/>
      <c r="BR70" s="20"/>
      <c r="BS70" s="20"/>
      <c r="BT70" s="20"/>
      <c r="BU70" s="20"/>
      <c r="BV70" s="20"/>
      <c r="BW70" s="20"/>
      <c r="BX70" s="206"/>
      <c r="BY70" s="207"/>
      <c r="BZ70" s="207"/>
      <c r="CA70" s="207"/>
      <c r="CB70" s="207"/>
      <c r="CC70" s="207"/>
      <c r="CD70" s="207"/>
      <c r="CE70" s="215"/>
      <c r="CF70" s="223"/>
      <c r="CG70" s="224"/>
      <c r="CH70" s="225"/>
      <c r="CI70" s="206"/>
      <c r="CJ70" s="207"/>
      <c r="CK70" s="207"/>
      <c r="CL70" s="207"/>
      <c r="CM70" s="207"/>
      <c r="CN70" s="207"/>
      <c r="CO70" s="207"/>
      <c r="CP70" s="208"/>
      <c r="CQ70" s="232" t="str">
        <f>IF(BF70*CF70*BC70=0,"",BF70*CF70*BC70)</f>
        <v/>
      </c>
      <c r="CR70" s="233"/>
      <c r="CS70" s="233"/>
      <c r="CT70" s="234"/>
      <c r="CU70" s="223"/>
      <c r="CV70" s="224"/>
      <c r="CW70" s="225"/>
      <c r="CX70" s="148" t="s">
        <v>45</v>
      </c>
      <c r="CY70" s="20"/>
      <c r="CZ70" s="20"/>
      <c r="DA70" s="20"/>
      <c r="DB70" s="20"/>
      <c r="DC70" s="20"/>
      <c r="DD70" s="20"/>
      <c r="DE70" s="20"/>
      <c r="DF70" s="20"/>
      <c r="DG70" s="20"/>
      <c r="DH70" s="20"/>
      <c r="DI70" s="20"/>
      <c r="DJ70" s="20"/>
      <c r="DK70" s="20"/>
      <c r="DL70" s="20"/>
      <c r="DM70" s="206"/>
      <c r="DN70" s="207"/>
      <c r="DO70" s="207"/>
      <c r="DP70" s="207"/>
      <c r="DQ70" s="207"/>
      <c r="DR70" s="207"/>
      <c r="DS70" s="207"/>
      <c r="DT70" s="215"/>
      <c r="DU70" s="223"/>
      <c r="DV70" s="224"/>
      <c r="DW70" s="225"/>
      <c r="DX70" s="206"/>
      <c r="DY70" s="207"/>
      <c r="DZ70" s="207"/>
      <c r="EA70" s="207"/>
      <c r="EB70" s="207"/>
      <c r="EC70" s="207"/>
      <c r="ED70" s="207"/>
      <c r="EE70" s="208"/>
      <c r="EF70" s="232" t="str">
        <f>IF(CU70*DU70*BC70=0,"",CU70*DU70*BC70)</f>
        <v/>
      </c>
      <c r="EG70" s="233"/>
      <c r="EH70" s="233"/>
      <c r="EI70" s="234"/>
    </row>
    <row r="71" spans="1:139" ht="14.1" customHeight="1">
      <c r="A71" s="249"/>
      <c r="B71" s="250"/>
      <c r="C71" s="259"/>
      <c r="D71" s="260"/>
      <c r="E71" s="260"/>
      <c r="F71" s="260"/>
      <c r="G71" s="260"/>
      <c r="H71" s="260"/>
      <c r="I71" s="260"/>
      <c r="J71" s="260"/>
      <c r="K71" s="260"/>
      <c r="L71" s="260"/>
      <c r="M71" s="260"/>
      <c r="N71" s="260"/>
      <c r="O71" s="261"/>
      <c r="P71" s="259"/>
      <c r="Q71" s="260"/>
      <c r="R71" s="260"/>
      <c r="S71" s="260"/>
      <c r="T71" s="260"/>
      <c r="U71" s="260"/>
      <c r="V71" s="260"/>
      <c r="W71" s="260"/>
      <c r="X71" s="260"/>
      <c r="Y71" s="260"/>
      <c r="Z71" s="260"/>
      <c r="AA71" s="260"/>
      <c r="AB71" s="260"/>
      <c r="AC71" s="260"/>
      <c r="AD71" s="260"/>
      <c r="AE71" s="261"/>
      <c r="AF71" s="259"/>
      <c r="AG71" s="260"/>
      <c r="AH71" s="260"/>
      <c r="AI71" s="260"/>
      <c r="AJ71" s="260"/>
      <c r="AK71" s="260"/>
      <c r="AL71" s="260"/>
      <c r="AM71" s="260"/>
      <c r="AN71" s="260"/>
      <c r="AO71" s="260"/>
      <c r="AP71" s="260"/>
      <c r="AQ71" s="260"/>
      <c r="AR71" s="260"/>
      <c r="AS71" s="260"/>
      <c r="AT71" s="260"/>
      <c r="AU71" s="260"/>
      <c r="AV71" s="260"/>
      <c r="AW71" s="260"/>
      <c r="AX71" s="260"/>
      <c r="AY71" s="261"/>
      <c r="AZ71" s="204"/>
      <c r="BA71" s="204"/>
      <c r="BB71" s="205"/>
      <c r="BC71" s="279"/>
      <c r="BD71" s="280"/>
      <c r="BE71" s="281"/>
      <c r="BF71" s="226"/>
      <c r="BG71" s="227"/>
      <c r="BH71" s="228"/>
      <c r="BI71" s="149"/>
      <c r="BJ71" s="150"/>
      <c r="BK71" s="20"/>
      <c r="BL71" s="20"/>
      <c r="BM71" s="20"/>
      <c r="BN71" s="20"/>
      <c r="BO71" s="20"/>
      <c r="BP71" s="20"/>
      <c r="BQ71" s="20"/>
      <c r="BR71" s="20"/>
      <c r="BS71" s="20"/>
      <c r="BT71" s="20"/>
      <c r="BU71" s="20"/>
      <c r="BV71" s="20"/>
      <c r="BW71" s="20"/>
      <c r="BX71" s="209"/>
      <c r="BY71" s="210"/>
      <c r="BZ71" s="210"/>
      <c r="CA71" s="210"/>
      <c r="CB71" s="210"/>
      <c r="CC71" s="210"/>
      <c r="CD71" s="210"/>
      <c r="CE71" s="216"/>
      <c r="CF71" s="226"/>
      <c r="CG71" s="227"/>
      <c r="CH71" s="228"/>
      <c r="CI71" s="209"/>
      <c r="CJ71" s="210"/>
      <c r="CK71" s="210"/>
      <c r="CL71" s="210"/>
      <c r="CM71" s="210"/>
      <c r="CN71" s="210"/>
      <c r="CO71" s="210"/>
      <c r="CP71" s="211"/>
      <c r="CQ71" s="235"/>
      <c r="CR71" s="236"/>
      <c r="CS71" s="236"/>
      <c r="CT71" s="237"/>
      <c r="CU71" s="226"/>
      <c r="CV71" s="227"/>
      <c r="CW71" s="228"/>
      <c r="CX71" s="149"/>
      <c r="CY71" s="150"/>
      <c r="CZ71" s="20"/>
      <c r="DA71" s="20"/>
      <c r="DB71" s="20"/>
      <c r="DC71" s="20"/>
      <c r="DD71" s="20"/>
      <c r="DE71" s="20"/>
      <c r="DF71" s="20"/>
      <c r="DG71" s="20"/>
      <c r="DH71" s="20"/>
      <c r="DI71" s="20"/>
      <c r="DJ71" s="20"/>
      <c r="DK71" s="20"/>
      <c r="DL71" s="20"/>
      <c r="DM71" s="209"/>
      <c r="DN71" s="210"/>
      <c r="DO71" s="210"/>
      <c r="DP71" s="210"/>
      <c r="DQ71" s="210"/>
      <c r="DR71" s="210"/>
      <c r="DS71" s="210"/>
      <c r="DT71" s="216"/>
      <c r="DU71" s="226"/>
      <c r="DV71" s="227"/>
      <c r="DW71" s="228"/>
      <c r="DX71" s="209"/>
      <c r="DY71" s="210"/>
      <c r="DZ71" s="210"/>
      <c r="EA71" s="210"/>
      <c r="EB71" s="210"/>
      <c r="EC71" s="210"/>
      <c r="ED71" s="210"/>
      <c r="EE71" s="211"/>
      <c r="EF71" s="235"/>
      <c r="EG71" s="236"/>
      <c r="EH71" s="236"/>
      <c r="EI71" s="237"/>
    </row>
    <row r="72" spans="1:139" ht="14.1" customHeight="1">
      <c r="A72" s="249"/>
      <c r="B72" s="250"/>
      <c r="C72" s="259"/>
      <c r="D72" s="260"/>
      <c r="E72" s="260"/>
      <c r="F72" s="260"/>
      <c r="G72" s="260"/>
      <c r="H72" s="260"/>
      <c r="I72" s="260"/>
      <c r="J72" s="260"/>
      <c r="K72" s="260"/>
      <c r="L72" s="260"/>
      <c r="M72" s="260"/>
      <c r="N72" s="260"/>
      <c r="O72" s="261"/>
      <c r="P72" s="259"/>
      <c r="Q72" s="260"/>
      <c r="R72" s="260"/>
      <c r="S72" s="260"/>
      <c r="T72" s="260"/>
      <c r="U72" s="260"/>
      <c r="V72" s="260"/>
      <c r="W72" s="260"/>
      <c r="X72" s="260"/>
      <c r="Y72" s="260"/>
      <c r="Z72" s="260"/>
      <c r="AA72" s="260"/>
      <c r="AB72" s="260"/>
      <c r="AC72" s="260"/>
      <c r="AD72" s="260"/>
      <c r="AE72" s="261"/>
      <c r="AF72" s="259"/>
      <c r="AG72" s="260"/>
      <c r="AH72" s="260"/>
      <c r="AI72" s="260"/>
      <c r="AJ72" s="260"/>
      <c r="AK72" s="260"/>
      <c r="AL72" s="260"/>
      <c r="AM72" s="260"/>
      <c r="AN72" s="260"/>
      <c r="AO72" s="260"/>
      <c r="AP72" s="260"/>
      <c r="AQ72" s="260"/>
      <c r="AR72" s="260"/>
      <c r="AS72" s="260"/>
      <c r="AT72" s="260"/>
      <c r="AU72" s="260"/>
      <c r="AV72" s="260"/>
      <c r="AW72" s="260"/>
      <c r="AX72" s="260"/>
      <c r="AY72" s="261"/>
      <c r="AZ72" s="204"/>
      <c r="BA72" s="204"/>
      <c r="BB72" s="205"/>
      <c r="BC72" s="279"/>
      <c r="BD72" s="280"/>
      <c r="BE72" s="281"/>
      <c r="BF72" s="226"/>
      <c r="BG72" s="227"/>
      <c r="BH72" s="228"/>
      <c r="BI72" s="149" t="s">
        <v>46</v>
      </c>
      <c r="BJ72" s="150"/>
      <c r="BK72" s="20"/>
      <c r="BL72" s="20"/>
      <c r="BM72" s="20"/>
      <c r="BN72" s="20"/>
      <c r="BO72" s="20"/>
      <c r="BP72" s="20"/>
      <c r="BQ72" s="20"/>
      <c r="BR72" s="20"/>
      <c r="BS72" s="20"/>
      <c r="BT72" s="20"/>
      <c r="BU72" s="20"/>
      <c r="BV72" s="20"/>
      <c r="BW72" s="20"/>
      <c r="BX72" s="209"/>
      <c r="BY72" s="210"/>
      <c r="BZ72" s="210"/>
      <c r="CA72" s="210"/>
      <c r="CB72" s="210"/>
      <c r="CC72" s="210"/>
      <c r="CD72" s="210"/>
      <c r="CE72" s="216"/>
      <c r="CF72" s="226"/>
      <c r="CG72" s="227"/>
      <c r="CH72" s="228"/>
      <c r="CI72" s="209"/>
      <c r="CJ72" s="210"/>
      <c r="CK72" s="210"/>
      <c r="CL72" s="210"/>
      <c r="CM72" s="210"/>
      <c r="CN72" s="210"/>
      <c r="CO72" s="210"/>
      <c r="CP72" s="211"/>
      <c r="CQ72" s="235"/>
      <c r="CR72" s="236"/>
      <c r="CS72" s="236"/>
      <c r="CT72" s="237"/>
      <c r="CU72" s="226"/>
      <c r="CV72" s="227"/>
      <c r="CW72" s="228"/>
      <c r="CX72" s="149" t="s">
        <v>46</v>
      </c>
      <c r="CY72" s="150"/>
      <c r="CZ72" s="20"/>
      <c r="DA72" s="20"/>
      <c r="DB72" s="20"/>
      <c r="DC72" s="20"/>
      <c r="DD72" s="20"/>
      <c r="DE72" s="20"/>
      <c r="DF72" s="20"/>
      <c r="DG72" s="20"/>
      <c r="DH72" s="20"/>
      <c r="DI72" s="20"/>
      <c r="DJ72" s="20"/>
      <c r="DK72" s="20"/>
      <c r="DL72" s="20"/>
      <c r="DM72" s="209"/>
      <c r="DN72" s="210"/>
      <c r="DO72" s="210"/>
      <c r="DP72" s="210"/>
      <c r="DQ72" s="210"/>
      <c r="DR72" s="210"/>
      <c r="DS72" s="210"/>
      <c r="DT72" s="216"/>
      <c r="DU72" s="226"/>
      <c r="DV72" s="227"/>
      <c r="DW72" s="228"/>
      <c r="DX72" s="209"/>
      <c r="DY72" s="210"/>
      <c r="DZ72" s="210"/>
      <c r="EA72" s="210"/>
      <c r="EB72" s="210"/>
      <c r="EC72" s="210"/>
      <c r="ED72" s="210"/>
      <c r="EE72" s="211"/>
      <c r="EF72" s="235"/>
      <c r="EG72" s="236"/>
      <c r="EH72" s="236"/>
      <c r="EI72" s="237"/>
    </row>
    <row r="73" spans="1:139" ht="14.1" customHeight="1">
      <c r="A73" s="249"/>
      <c r="B73" s="250"/>
      <c r="C73" s="259"/>
      <c r="D73" s="260"/>
      <c r="E73" s="260"/>
      <c r="F73" s="260"/>
      <c r="G73" s="260"/>
      <c r="H73" s="260"/>
      <c r="I73" s="260"/>
      <c r="J73" s="260"/>
      <c r="K73" s="260"/>
      <c r="L73" s="260"/>
      <c r="M73" s="260"/>
      <c r="N73" s="260"/>
      <c r="O73" s="261"/>
      <c r="P73" s="259"/>
      <c r="Q73" s="260"/>
      <c r="R73" s="260"/>
      <c r="S73" s="260"/>
      <c r="T73" s="260"/>
      <c r="U73" s="260"/>
      <c r="V73" s="260"/>
      <c r="W73" s="260"/>
      <c r="X73" s="260"/>
      <c r="Y73" s="260"/>
      <c r="Z73" s="260"/>
      <c r="AA73" s="260"/>
      <c r="AB73" s="260"/>
      <c r="AC73" s="260"/>
      <c r="AD73" s="260"/>
      <c r="AE73" s="261"/>
      <c r="AF73" s="259"/>
      <c r="AG73" s="260"/>
      <c r="AH73" s="260"/>
      <c r="AI73" s="260"/>
      <c r="AJ73" s="260"/>
      <c r="AK73" s="260"/>
      <c r="AL73" s="260"/>
      <c r="AM73" s="260"/>
      <c r="AN73" s="260"/>
      <c r="AO73" s="260"/>
      <c r="AP73" s="260"/>
      <c r="AQ73" s="260"/>
      <c r="AR73" s="260"/>
      <c r="AS73" s="260"/>
      <c r="AT73" s="260"/>
      <c r="AU73" s="260"/>
      <c r="AV73" s="260"/>
      <c r="AW73" s="260"/>
      <c r="AX73" s="260"/>
      <c r="AY73" s="261"/>
      <c r="AZ73" s="204"/>
      <c r="BA73" s="204"/>
      <c r="BB73" s="205"/>
      <c r="BC73" s="279"/>
      <c r="BD73" s="280"/>
      <c r="BE73" s="281"/>
      <c r="BF73" s="226"/>
      <c r="BG73" s="227"/>
      <c r="BH73" s="228"/>
      <c r="BI73" s="151"/>
      <c r="BJ73" s="150"/>
      <c r="BK73" s="20"/>
      <c r="BL73" s="20"/>
      <c r="BM73" s="20"/>
      <c r="BN73" s="20"/>
      <c r="BO73" s="20"/>
      <c r="BP73" s="20"/>
      <c r="BQ73" s="20"/>
      <c r="BR73" s="20"/>
      <c r="BS73" s="20"/>
      <c r="BT73" s="20"/>
      <c r="BU73" s="20"/>
      <c r="BV73" s="20"/>
      <c r="BW73" s="20"/>
      <c r="BX73" s="209"/>
      <c r="BY73" s="210"/>
      <c r="BZ73" s="210"/>
      <c r="CA73" s="210"/>
      <c r="CB73" s="210"/>
      <c r="CC73" s="210"/>
      <c r="CD73" s="210"/>
      <c r="CE73" s="216"/>
      <c r="CF73" s="226"/>
      <c r="CG73" s="227"/>
      <c r="CH73" s="228"/>
      <c r="CI73" s="209"/>
      <c r="CJ73" s="210"/>
      <c r="CK73" s="210"/>
      <c r="CL73" s="210"/>
      <c r="CM73" s="210"/>
      <c r="CN73" s="210"/>
      <c r="CO73" s="210"/>
      <c r="CP73" s="211"/>
      <c r="CQ73" s="235"/>
      <c r="CR73" s="236"/>
      <c r="CS73" s="236"/>
      <c r="CT73" s="237"/>
      <c r="CU73" s="226"/>
      <c r="CV73" s="227"/>
      <c r="CW73" s="228"/>
      <c r="CX73" s="151"/>
      <c r="CY73" s="150"/>
      <c r="CZ73" s="20"/>
      <c r="DA73" s="20"/>
      <c r="DB73" s="20"/>
      <c r="DC73" s="20"/>
      <c r="DD73" s="20"/>
      <c r="DE73" s="20"/>
      <c r="DF73" s="20"/>
      <c r="DG73" s="20"/>
      <c r="DH73" s="20"/>
      <c r="DI73" s="20"/>
      <c r="DJ73" s="20"/>
      <c r="DK73" s="20"/>
      <c r="DL73" s="20"/>
      <c r="DM73" s="209"/>
      <c r="DN73" s="210"/>
      <c r="DO73" s="210"/>
      <c r="DP73" s="210"/>
      <c r="DQ73" s="210"/>
      <c r="DR73" s="210"/>
      <c r="DS73" s="210"/>
      <c r="DT73" s="216"/>
      <c r="DU73" s="226"/>
      <c r="DV73" s="227"/>
      <c r="DW73" s="228"/>
      <c r="DX73" s="209"/>
      <c r="DY73" s="210"/>
      <c r="DZ73" s="210"/>
      <c r="EA73" s="210"/>
      <c r="EB73" s="210"/>
      <c r="EC73" s="210"/>
      <c r="ED73" s="210"/>
      <c r="EE73" s="211"/>
      <c r="EF73" s="235"/>
      <c r="EG73" s="236"/>
      <c r="EH73" s="236"/>
      <c r="EI73" s="237"/>
    </row>
    <row r="74" spans="1:139" ht="14.1" customHeight="1">
      <c r="A74" s="249"/>
      <c r="B74" s="250"/>
      <c r="C74" s="259"/>
      <c r="D74" s="260"/>
      <c r="E74" s="260"/>
      <c r="F74" s="260"/>
      <c r="G74" s="260"/>
      <c r="H74" s="260"/>
      <c r="I74" s="260"/>
      <c r="J74" s="260"/>
      <c r="K74" s="260"/>
      <c r="L74" s="260"/>
      <c r="M74" s="260"/>
      <c r="N74" s="260"/>
      <c r="O74" s="261"/>
      <c r="P74" s="259"/>
      <c r="Q74" s="260"/>
      <c r="R74" s="260"/>
      <c r="S74" s="260"/>
      <c r="T74" s="260"/>
      <c r="U74" s="260"/>
      <c r="V74" s="260"/>
      <c r="W74" s="260"/>
      <c r="X74" s="260"/>
      <c r="Y74" s="260"/>
      <c r="Z74" s="260"/>
      <c r="AA74" s="260"/>
      <c r="AB74" s="260"/>
      <c r="AC74" s="260"/>
      <c r="AD74" s="260"/>
      <c r="AE74" s="261"/>
      <c r="AF74" s="259"/>
      <c r="AG74" s="260"/>
      <c r="AH74" s="260"/>
      <c r="AI74" s="260"/>
      <c r="AJ74" s="260"/>
      <c r="AK74" s="260"/>
      <c r="AL74" s="260"/>
      <c r="AM74" s="260"/>
      <c r="AN74" s="260"/>
      <c r="AO74" s="260"/>
      <c r="AP74" s="260"/>
      <c r="AQ74" s="260"/>
      <c r="AR74" s="260"/>
      <c r="AS74" s="260"/>
      <c r="AT74" s="260"/>
      <c r="AU74" s="260"/>
      <c r="AV74" s="260"/>
      <c r="AW74" s="260"/>
      <c r="AX74" s="260"/>
      <c r="AY74" s="261"/>
      <c r="AZ74" s="204"/>
      <c r="BA74" s="204"/>
      <c r="BB74" s="205"/>
      <c r="BC74" s="279"/>
      <c r="BD74" s="280"/>
      <c r="BE74" s="281"/>
      <c r="BF74" s="226"/>
      <c r="BG74" s="227"/>
      <c r="BH74" s="228"/>
      <c r="BI74" s="149" t="s">
        <v>47</v>
      </c>
      <c r="BJ74" s="150"/>
      <c r="BK74" s="20"/>
      <c r="BL74" s="20"/>
      <c r="BM74" s="20"/>
      <c r="BN74" s="20"/>
      <c r="BO74" s="20"/>
      <c r="BP74" s="20"/>
      <c r="BQ74" s="20"/>
      <c r="BR74" s="20"/>
      <c r="BS74" s="20"/>
      <c r="BT74" s="20"/>
      <c r="BU74" s="20"/>
      <c r="BV74" s="20"/>
      <c r="BW74" s="20"/>
      <c r="BX74" s="209"/>
      <c r="BY74" s="210"/>
      <c r="BZ74" s="210"/>
      <c r="CA74" s="210"/>
      <c r="CB74" s="210"/>
      <c r="CC74" s="210"/>
      <c r="CD74" s="210"/>
      <c r="CE74" s="216"/>
      <c r="CF74" s="226"/>
      <c r="CG74" s="227"/>
      <c r="CH74" s="228"/>
      <c r="CI74" s="209"/>
      <c r="CJ74" s="210"/>
      <c r="CK74" s="210"/>
      <c r="CL74" s="210"/>
      <c r="CM74" s="210"/>
      <c r="CN74" s="210"/>
      <c r="CO74" s="210"/>
      <c r="CP74" s="211"/>
      <c r="CQ74" s="235"/>
      <c r="CR74" s="236"/>
      <c r="CS74" s="236"/>
      <c r="CT74" s="237"/>
      <c r="CU74" s="226"/>
      <c r="CV74" s="227"/>
      <c r="CW74" s="228"/>
      <c r="CX74" s="149" t="s">
        <v>47</v>
      </c>
      <c r="CY74" s="150"/>
      <c r="CZ74" s="20"/>
      <c r="DA74" s="20"/>
      <c r="DB74" s="20"/>
      <c r="DC74" s="20"/>
      <c r="DD74" s="20"/>
      <c r="DE74" s="20"/>
      <c r="DF74" s="20"/>
      <c r="DG74" s="20"/>
      <c r="DH74" s="20"/>
      <c r="DI74" s="20"/>
      <c r="DJ74" s="20"/>
      <c r="DK74" s="20"/>
      <c r="DL74" s="20"/>
      <c r="DM74" s="209"/>
      <c r="DN74" s="210"/>
      <c r="DO74" s="210"/>
      <c r="DP74" s="210"/>
      <c r="DQ74" s="210"/>
      <c r="DR74" s="210"/>
      <c r="DS74" s="210"/>
      <c r="DT74" s="216"/>
      <c r="DU74" s="226"/>
      <c r="DV74" s="227"/>
      <c r="DW74" s="228"/>
      <c r="DX74" s="209"/>
      <c r="DY74" s="210"/>
      <c r="DZ74" s="210"/>
      <c r="EA74" s="210"/>
      <c r="EB74" s="210"/>
      <c r="EC74" s="210"/>
      <c r="ED74" s="210"/>
      <c r="EE74" s="211"/>
      <c r="EF74" s="235"/>
      <c r="EG74" s="236"/>
      <c r="EH74" s="236"/>
      <c r="EI74" s="237"/>
    </row>
    <row r="75" spans="1:139" ht="14.1" customHeight="1">
      <c r="A75" s="249"/>
      <c r="B75" s="250"/>
      <c r="C75" s="259"/>
      <c r="D75" s="260"/>
      <c r="E75" s="260"/>
      <c r="F75" s="260"/>
      <c r="G75" s="260"/>
      <c r="H75" s="260"/>
      <c r="I75" s="260"/>
      <c r="J75" s="260"/>
      <c r="K75" s="260"/>
      <c r="L75" s="260"/>
      <c r="M75" s="260"/>
      <c r="N75" s="260"/>
      <c r="O75" s="261"/>
      <c r="P75" s="259"/>
      <c r="Q75" s="260"/>
      <c r="R75" s="260"/>
      <c r="S75" s="260"/>
      <c r="T75" s="260"/>
      <c r="U75" s="260"/>
      <c r="V75" s="260"/>
      <c r="W75" s="260"/>
      <c r="X75" s="260"/>
      <c r="Y75" s="260"/>
      <c r="Z75" s="260"/>
      <c r="AA75" s="260"/>
      <c r="AB75" s="260"/>
      <c r="AC75" s="260"/>
      <c r="AD75" s="260"/>
      <c r="AE75" s="261"/>
      <c r="AF75" s="259"/>
      <c r="AG75" s="260"/>
      <c r="AH75" s="260"/>
      <c r="AI75" s="260"/>
      <c r="AJ75" s="260"/>
      <c r="AK75" s="260"/>
      <c r="AL75" s="260"/>
      <c r="AM75" s="260"/>
      <c r="AN75" s="260"/>
      <c r="AO75" s="260"/>
      <c r="AP75" s="260"/>
      <c r="AQ75" s="260"/>
      <c r="AR75" s="260"/>
      <c r="AS75" s="260"/>
      <c r="AT75" s="260"/>
      <c r="AU75" s="260"/>
      <c r="AV75" s="260"/>
      <c r="AW75" s="260"/>
      <c r="AX75" s="260"/>
      <c r="AY75" s="261"/>
      <c r="AZ75" s="204"/>
      <c r="BA75" s="204"/>
      <c r="BB75" s="205"/>
      <c r="BC75" s="279"/>
      <c r="BD75" s="280"/>
      <c r="BE75" s="281"/>
      <c r="BF75" s="226"/>
      <c r="BG75" s="227"/>
      <c r="BH75" s="228"/>
      <c r="BI75" s="151"/>
      <c r="BJ75" s="150"/>
      <c r="BK75" s="20"/>
      <c r="BL75" s="20"/>
      <c r="BM75" s="20"/>
      <c r="BN75" s="20"/>
      <c r="BO75" s="20"/>
      <c r="BP75" s="20"/>
      <c r="BQ75" s="20"/>
      <c r="BR75" s="20"/>
      <c r="BS75" s="20"/>
      <c r="BT75" s="20"/>
      <c r="BU75" s="20"/>
      <c r="BV75" s="20"/>
      <c r="BW75" s="20"/>
      <c r="BX75" s="209"/>
      <c r="BY75" s="210"/>
      <c r="BZ75" s="210"/>
      <c r="CA75" s="210"/>
      <c r="CB75" s="210"/>
      <c r="CC75" s="210"/>
      <c r="CD75" s="210"/>
      <c r="CE75" s="216"/>
      <c r="CF75" s="226"/>
      <c r="CG75" s="227"/>
      <c r="CH75" s="228"/>
      <c r="CI75" s="209"/>
      <c r="CJ75" s="210"/>
      <c r="CK75" s="210"/>
      <c r="CL75" s="210"/>
      <c r="CM75" s="210"/>
      <c r="CN75" s="210"/>
      <c r="CO75" s="210"/>
      <c r="CP75" s="211"/>
      <c r="CQ75" s="235"/>
      <c r="CR75" s="236"/>
      <c r="CS75" s="236"/>
      <c r="CT75" s="237"/>
      <c r="CU75" s="226"/>
      <c r="CV75" s="227"/>
      <c r="CW75" s="228"/>
      <c r="CX75" s="151"/>
      <c r="CY75" s="150"/>
      <c r="CZ75" s="20"/>
      <c r="DA75" s="20"/>
      <c r="DB75" s="20"/>
      <c r="DC75" s="20"/>
      <c r="DD75" s="20"/>
      <c r="DE75" s="20"/>
      <c r="DF75" s="20"/>
      <c r="DG75" s="20"/>
      <c r="DH75" s="20"/>
      <c r="DI75" s="20"/>
      <c r="DJ75" s="20"/>
      <c r="DK75" s="20"/>
      <c r="DL75" s="20"/>
      <c r="DM75" s="209"/>
      <c r="DN75" s="210"/>
      <c r="DO75" s="210"/>
      <c r="DP75" s="210"/>
      <c r="DQ75" s="210"/>
      <c r="DR75" s="210"/>
      <c r="DS75" s="210"/>
      <c r="DT75" s="216"/>
      <c r="DU75" s="226"/>
      <c r="DV75" s="227"/>
      <c r="DW75" s="228"/>
      <c r="DX75" s="209"/>
      <c r="DY75" s="210"/>
      <c r="DZ75" s="210"/>
      <c r="EA75" s="210"/>
      <c r="EB75" s="210"/>
      <c r="EC75" s="210"/>
      <c r="ED75" s="210"/>
      <c r="EE75" s="211"/>
      <c r="EF75" s="235"/>
      <c r="EG75" s="236"/>
      <c r="EH75" s="236"/>
      <c r="EI75" s="237"/>
    </row>
    <row r="76" spans="1:139" ht="14.1" customHeight="1">
      <c r="A76" s="251"/>
      <c r="B76" s="252"/>
      <c r="C76" s="262"/>
      <c r="D76" s="263"/>
      <c r="E76" s="263"/>
      <c r="F76" s="263"/>
      <c r="G76" s="263"/>
      <c r="H76" s="263"/>
      <c r="I76" s="263"/>
      <c r="J76" s="263"/>
      <c r="K76" s="263"/>
      <c r="L76" s="263"/>
      <c r="M76" s="263"/>
      <c r="N76" s="263"/>
      <c r="O76" s="264"/>
      <c r="P76" s="262"/>
      <c r="Q76" s="263"/>
      <c r="R76" s="263"/>
      <c r="S76" s="263"/>
      <c r="T76" s="263"/>
      <c r="U76" s="263"/>
      <c r="V76" s="263"/>
      <c r="W76" s="263"/>
      <c r="X76" s="263"/>
      <c r="Y76" s="263"/>
      <c r="Z76" s="263"/>
      <c r="AA76" s="263"/>
      <c r="AB76" s="263"/>
      <c r="AC76" s="263"/>
      <c r="AD76" s="263"/>
      <c r="AE76" s="264"/>
      <c r="AF76" s="262"/>
      <c r="AG76" s="263"/>
      <c r="AH76" s="263"/>
      <c r="AI76" s="263"/>
      <c r="AJ76" s="263"/>
      <c r="AK76" s="263"/>
      <c r="AL76" s="263"/>
      <c r="AM76" s="263"/>
      <c r="AN76" s="263"/>
      <c r="AO76" s="263"/>
      <c r="AP76" s="263"/>
      <c r="AQ76" s="263"/>
      <c r="AR76" s="263"/>
      <c r="AS76" s="263"/>
      <c r="AT76" s="263"/>
      <c r="AU76" s="263"/>
      <c r="AV76" s="263"/>
      <c r="AW76" s="263"/>
      <c r="AX76" s="263"/>
      <c r="AY76" s="264"/>
      <c r="AZ76" s="204"/>
      <c r="BA76" s="204"/>
      <c r="BB76" s="205"/>
      <c r="BC76" s="282"/>
      <c r="BD76" s="283"/>
      <c r="BE76" s="284"/>
      <c r="BF76" s="229"/>
      <c r="BG76" s="230"/>
      <c r="BH76" s="231"/>
      <c r="BI76" s="218"/>
      <c r="BJ76" s="219"/>
      <c r="BK76" s="152"/>
      <c r="BL76" s="152"/>
      <c r="BM76" s="152"/>
      <c r="BN76" s="152"/>
      <c r="BO76" s="152"/>
      <c r="BP76" s="152"/>
      <c r="BQ76" s="152"/>
      <c r="BR76" s="152"/>
      <c r="BS76" s="152"/>
      <c r="BT76" s="152"/>
      <c r="BU76" s="152"/>
      <c r="BV76" s="152"/>
      <c r="BW76" s="153"/>
      <c r="BX76" s="212"/>
      <c r="BY76" s="213"/>
      <c r="BZ76" s="213"/>
      <c r="CA76" s="213"/>
      <c r="CB76" s="213"/>
      <c r="CC76" s="213"/>
      <c r="CD76" s="213"/>
      <c r="CE76" s="217"/>
      <c r="CF76" s="229"/>
      <c r="CG76" s="230"/>
      <c r="CH76" s="231"/>
      <c r="CI76" s="212"/>
      <c r="CJ76" s="213"/>
      <c r="CK76" s="213"/>
      <c r="CL76" s="213"/>
      <c r="CM76" s="213"/>
      <c r="CN76" s="213"/>
      <c r="CO76" s="213"/>
      <c r="CP76" s="214"/>
      <c r="CQ76" s="238"/>
      <c r="CR76" s="239"/>
      <c r="CS76" s="239"/>
      <c r="CT76" s="240"/>
      <c r="CU76" s="229"/>
      <c r="CV76" s="230"/>
      <c r="CW76" s="231"/>
      <c r="CX76" s="218"/>
      <c r="CY76" s="219"/>
      <c r="CZ76" s="152"/>
      <c r="DA76" s="152"/>
      <c r="DB76" s="152"/>
      <c r="DC76" s="152"/>
      <c r="DD76" s="152"/>
      <c r="DE76" s="152"/>
      <c r="DF76" s="152"/>
      <c r="DG76" s="152"/>
      <c r="DH76" s="152"/>
      <c r="DI76" s="152"/>
      <c r="DJ76" s="152"/>
      <c r="DK76" s="152"/>
      <c r="DL76" s="153"/>
      <c r="DM76" s="212"/>
      <c r="DN76" s="213"/>
      <c r="DO76" s="213"/>
      <c r="DP76" s="213"/>
      <c r="DQ76" s="213"/>
      <c r="DR76" s="213"/>
      <c r="DS76" s="213"/>
      <c r="DT76" s="217"/>
      <c r="DU76" s="229"/>
      <c r="DV76" s="230"/>
      <c r="DW76" s="231"/>
      <c r="DX76" s="212"/>
      <c r="DY76" s="213"/>
      <c r="DZ76" s="213"/>
      <c r="EA76" s="213"/>
      <c r="EB76" s="213"/>
      <c r="EC76" s="213"/>
      <c r="ED76" s="213"/>
      <c r="EE76" s="214"/>
      <c r="EF76" s="238"/>
      <c r="EG76" s="239"/>
      <c r="EH76" s="239"/>
      <c r="EI76" s="240"/>
    </row>
    <row r="77" spans="1:139" ht="14.1" customHeight="1">
      <c r="A77" s="420">
        <v>10</v>
      </c>
      <c r="B77" s="421"/>
      <c r="C77" s="256"/>
      <c r="D77" s="257"/>
      <c r="E77" s="257"/>
      <c r="F77" s="257"/>
      <c r="G77" s="257"/>
      <c r="H77" s="257"/>
      <c r="I77" s="257"/>
      <c r="J77" s="257"/>
      <c r="K77" s="257"/>
      <c r="L77" s="257"/>
      <c r="M77" s="257"/>
      <c r="N77" s="257"/>
      <c r="O77" s="258"/>
      <c r="P77" s="256"/>
      <c r="Q77" s="257"/>
      <c r="R77" s="257"/>
      <c r="S77" s="257"/>
      <c r="T77" s="257"/>
      <c r="U77" s="257"/>
      <c r="V77" s="257"/>
      <c r="W77" s="257"/>
      <c r="X77" s="257"/>
      <c r="Y77" s="257"/>
      <c r="Z77" s="257"/>
      <c r="AA77" s="257"/>
      <c r="AB77" s="257"/>
      <c r="AC77" s="257"/>
      <c r="AD77" s="257"/>
      <c r="AE77" s="258"/>
      <c r="AF77" s="256"/>
      <c r="AG77" s="257"/>
      <c r="AH77" s="257"/>
      <c r="AI77" s="257"/>
      <c r="AJ77" s="257"/>
      <c r="AK77" s="257"/>
      <c r="AL77" s="257"/>
      <c r="AM77" s="257"/>
      <c r="AN77" s="257"/>
      <c r="AO77" s="257"/>
      <c r="AP77" s="257"/>
      <c r="AQ77" s="257"/>
      <c r="AR77" s="257"/>
      <c r="AS77" s="257"/>
      <c r="AT77" s="257"/>
      <c r="AU77" s="257"/>
      <c r="AV77" s="257"/>
      <c r="AW77" s="257"/>
      <c r="AX77" s="257"/>
      <c r="AY77" s="258"/>
      <c r="AZ77" s="204"/>
      <c r="BA77" s="204"/>
      <c r="BB77" s="205"/>
      <c r="BC77" s="276" t="str">
        <f>IF(AZ77="","0",VLOOKUP(AZ77,設定!$G$26:$H$28,2,FALSE))</f>
        <v>0</v>
      </c>
      <c r="BD77" s="277"/>
      <c r="BE77" s="278"/>
      <c r="BF77" s="223"/>
      <c r="BG77" s="224"/>
      <c r="BH77" s="225"/>
      <c r="BI77" s="148" t="s">
        <v>45</v>
      </c>
      <c r="BJ77" s="20"/>
      <c r="BK77" s="20"/>
      <c r="BL77" s="20"/>
      <c r="BM77" s="20"/>
      <c r="BN77" s="20"/>
      <c r="BO77" s="20"/>
      <c r="BP77" s="20"/>
      <c r="BQ77" s="20"/>
      <c r="BR77" s="20"/>
      <c r="BS77" s="20"/>
      <c r="BT77" s="20"/>
      <c r="BU77" s="20"/>
      <c r="BV77" s="20"/>
      <c r="BW77" s="20"/>
      <c r="BX77" s="206"/>
      <c r="BY77" s="207"/>
      <c r="BZ77" s="207"/>
      <c r="CA77" s="207"/>
      <c r="CB77" s="207"/>
      <c r="CC77" s="207"/>
      <c r="CD77" s="207"/>
      <c r="CE77" s="215"/>
      <c r="CF77" s="223"/>
      <c r="CG77" s="224"/>
      <c r="CH77" s="225"/>
      <c r="CI77" s="206"/>
      <c r="CJ77" s="207"/>
      <c r="CK77" s="207"/>
      <c r="CL77" s="207"/>
      <c r="CM77" s="207"/>
      <c r="CN77" s="207"/>
      <c r="CO77" s="207"/>
      <c r="CP77" s="208"/>
      <c r="CQ77" s="232" t="str">
        <f>IF(BF77*CF77*BC77=0,"",BF77*CF77*BC77)</f>
        <v/>
      </c>
      <c r="CR77" s="233"/>
      <c r="CS77" s="233"/>
      <c r="CT77" s="234"/>
      <c r="CU77" s="223"/>
      <c r="CV77" s="224"/>
      <c r="CW77" s="225"/>
      <c r="CX77" s="148" t="s">
        <v>45</v>
      </c>
      <c r="CY77" s="20"/>
      <c r="CZ77" s="20"/>
      <c r="DA77" s="20"/>
      <c r="DB77" s="20"/>
      <c r="DC77" s="20"/>
      <c r="DD77" s="20"/>
      <c r="DE77" s="20"/>
      <c r="DF77" s="20"/>
      <c r="DG77" s="20"/>
      <c r="DH77" s="20"/>
      <c r="DI77" s="20"/>
      <c r="DJ77" s="20"/>
      <c r="DK77" s="20"/>
      <c r="DL77" s="20"/>
      <c r="DM77" s="206"/>
      <c r="DN77" s="207"/>
      <c r="DO77" s="207"/>
      <c r="DP77" s="207"/>
      <c r="DQ77" s="207"/>
      <c r="DR77" s="207"/>
      <c r="DS77" s="207"/>
      <c r="DT77" s="215"/>
      <c r="DU77" s="223"/>
      <c r="DV77" s="224"/>
      <c r="DW77" s="225"/>
      <c r="DX77" s="206"/>
      <c r="DY77" s="207"/>
      <c r="DZ77" s="207"/>
      <c r="EA77" s="207"/>
      <c r="EB77" s="207"/>
      <c r="EC77" s="207"/>
      <c r="ED77" s="207"/>
      <c r="EE77" s="208"/>
      <c r="EF77" s="232" t="str">
        <f>IF(CU77*DU77*BC77=0,"",CU77*DU77*BC77)</f>
        <v/>
      </c>
      <c r="EG77" s="233"/>
      <c r="EH77" s="233"/>
      <c r="EI77" s="234"/>
    </row>
    <row r="78" spans="1:139" ht="14.1" customHeight="1">
      <c r="A78" s="422"/>
      <c r="B78" s="423"/>
      <c r="C78" s="259"/>
      <c r="D78" s="260"/>
      <c r="E78" s="260"/>
      <c r="F78" s="260"/>
      <c r="G78" s="260"/>
      <c r="H78" s="260"/>
      <c r="I78" s="260"/>
      <c r="J78" s="260"/>
      <c r="K78" s="260"/>
      <c r="L78" s="260"/>
      <c r="M78" s="260"/>
      <c r="N78" s="260"/>
      <c r="O78" s="261"/>
      <c r="P78" s="259"/>
      <c r="Q78" s="260"/>
      <c r="R78" s="260"/>
      <c r="S78" s="260"/>
      <c r="T78" s="260"/>
      <c r="U78" s="260"/>
      <c r="V78" s="260"/>
      <c r="W78" s="260"/>
      <c r="X78" s="260"/>
      <c r="Y78" s="260"/>
      <c r="Z78" s="260"/>
      <c r="AA78" s="260"/>
      <c r="AB78" s="260"/>
      <c r="AC78" s="260"/>
      <c r="AD78" s="260"/>
      <c r="AE78" s="261"/>
      <c r="AF78" s="259"/>
      <c r="AG78" s="260"/>
      <c r="AH78" s="260"/>
      <c r="AI78" s="260"/>
      <c r="AJ78" s="260"/>
      <c r="AK78" s="260"/>
      <c r="AL78" s="260"/>
      <c r="AM78" s="260"/>
      <c r="AN78" s="260"/>
      <c r="AO78" s="260"/>
      <c r="AP78" s="260"/>
      <c r="AQ78" s="260"/>
      <c r="AR78" s="260"/>
      <c r="AS78" s="260"/>
      <c r="AT78" s="260"/>
      <c r="AU78" s="260"/>
      <c r="AV78" s="260"/>
      <c r="AW78" s="260"/>
      <c r="AX78" s="260"/>
      <c r="AY78" s="261"/>
      <c r="AZ78" s="204"/>
      <c r="BA78" s="204"/>
      <c r="BB78" s="205"/>
      <c r="BC78" s="279"/>
      <c r="BD78" s="280"/>
      <c r="BE78" s="281"/>
      <c r="BF78" s="226"/>
      <c r="BG78" s="227"/>
      <c r="BH78" s="228"/>
      <c r="BI78" s="149"/>
      <c r="BJ78" s="150"/>
      <c r="BK78" s="20"/>
      <c r="BL78" s="20"/>
      <c r="BM78" s="20"/>
      <c r="BN78" s="20"/>
      <c r="BO78" s="20"/>
      <c r="BP78" s="20"/>
      <c r="BQ78" s="20"/>
      <c r="BR78" s="20"/>
      <c r="BS78" s="20"/>
      <c r="BT78" s="20"/>
      <c r="BU78" s="20"/>
      <c r="BV78" s="20"/>
      <c r="BW78" s="20"/>
      <c r="BX78" s="209"/>
      <c r="BY78" s="210"/>
      <c r="BZ78" s="210"/>
      <c r="CA78" s="210"/>
      <c r="CB78" s="210"/>
      <c r="CC78" s="210"/>
      <c r="CD78" s="210"/>
      <c r="CE78" s="216"/>
      <c r="CF78" s="226"/>
      <c r="CG78" s="227"/>
      <c r="CH78" s="228"/>
      <c r="CI78" s="209"/>
      <c r="CJ78" s="210"/>
      <c r="CK78" s="210"/>
      <c r="CL78" s="210"/>
      <c r="CM78" s="210"/>
      <c r="CN78" s="210"/>
      <c r="CO78" s="210"/>
      <c r="CP78" s="211"/>
      <c r="CQ78" s="235"/>
      <c r="CR78" s="236"/>
      <c r="CS78" s="236"/>
      <c r="CT78" s="237"/>
      <c r="CU78" s="226"/>
      <c r="CV78" s="227"/>
      <c r="CW78" s="228"/>
      <c r="CX78" s="149"/>
      <c r="CY78" s="150"/>
      <c r="CZ78" s="20"/>
      <c r="DA78" s="20"/>
      <c r="DB78" s="20"/>
      <c r="DC78" s="20"/>
      <c r="DD78" s="20"/>
      <c r="DE78" s="20"/>
      <c r="DF78" s="20"/>
      <c r="DG78" s="20"/>
      <c r="DH78" s="20"/>
      <c r="DI78" s="20"/>
      <c r="DJ78" s="20"/>
      <c r="DK78" s="20"/>
      <c r="DL78" s="20"/>
      <c r="DM78" s="209"/>
      <c r="DN78" s="210"/>
      <c r="DO78" s="210"/>
      <c r="DP78" s="210"/>
      <c r="DQ78" s="210"/>
      <c r="DR78" s="210"/>
      <c r="DS78" s="210"/>
      <c r="DT78" s="216"/>
      <c r="DU78" s="226"/>
      <c r="DV78" s="227"/>
      <c r="DW78" s="228"/>
      <c r="DX78" s="209"/>
      <c r="DY78" s="210"/>
      <c r="DZ78" s="210"/>
      <c r="EA78" s="210"/>
      <c r="EB78" s="210"/>
      <c r="EC78" s="210"/>
      <c r="ED78" s="210"/>
      <c r="EE78" s="211"/>
      <c r="EF78" s="235"/>
      <c r="EG78" s="236"/>
      <c r="EH78" s="236"/>
      <c r="EI78" s="237"/>
    </row>
    <row r="79" spans="1:139" ht="14.1" customHeight="1">
      <c r="A79" s="422"/>
      <c r="B79" s="423"/>
      <c r="C79" s="259"/>
      <c r="D79" s="260"/>
      <c r="E79" s="260"/>
      <c r="F79" s="260"/>
      <c r="G79" s="260"/>
      <c r="H79" s="260"/>
      <c r="I79" s="260"/>
      <c r="J79" s="260"/>
      <c r="K79" s="260"/>
      <c r="L79" s="260"/>
      <c r="M79" s="260"/>
      <c r="N79" s="260"/>
      <c r="O79" s="261"/>
      <c r="P79" s="259"/>
      <c r="Q79" s="260"/>
      <c r="R79" s="260"/>
      <c r="S79" s="260"/>
      <c r="T79" s="260"/>
      <c r="U79" s="260"/>
      <c r="V79" s="260"/>
      <c r="W79" s="260"/>
      <c r="X79" s="260"/>
      <c r="Y79" s="260"/>
      <c r="Z79" s="260"/>
      <c r="AA79" s="260"/>
      <c r="AB79" s="260"/>
      <c r="AC79" s="260"/>
      <c r="AD79" s="260"/>
      <c r="AE79" s="261"/>
      <c r="AF79" s="259"/>
      <c r="AG79" s="260"/>
      <c r="AH79" s="260"/>
      <c r="AI79" s="260"/>
      <c r="AJ79" s="260"/>
      <c r="AK79" s="260"/>
      <c r="AL79" s="260"/>
      <c r="AM79" s="260"/>
      <c r="AN79" s="260"/>
      <c r="AO79" s="260"/>
      <c r="AP79" s="260"/>
      <c r="AQ79" s="260"/>
      <c r="AR79" s="260"/>
      <c r="AS79" s="260"/>
      <c r="AT79" s="260"/>
      <c r="AU79" s="260"/>
      <c r="AV79" s="260"/>
      <c r="AW79" s="260"/>
      <c r="AX79" s="260"/>
      <c r="AY79" s="261"/>
      <c r="AZ79" s="204"/>
      <c r="BA79" s="204"/>
      <c r="BB79" s="205"/>
      <c r="BC79" s="279"/>
      <c r="BD79" s="280"/>
      <c r="BE79" s="281"/>
      <c r="BF79" s="226"/>
      <c r="BG79" s="227"/>
      <c r="BH79" s="228"/>
      <c r="BI79" s="149" t="s">
        <v>46</v>
      </c>
      <c r="BJ79" s="150"/>
      <c r="BK79" s="20"/>
      <c r="BL79" s="20"/>
      <c r="BM79" s="20"/>
      <c r="BN79" s="20"/>
      <c r="BO79" s="20"/>
      <c r="BP79" s="20"/>
      <c r="BQ79" s="20"/>
      <c r="BR79" s="20"/>
      <c r="BS79" s="20"/>
      <c r="BT79" s="20"/>
      <c r="BU79" s="20"/>
      <c r="BV79" s="20"/>
      <c r="BW79" s="20"/>
      <c r="BX79" s="209"/>
      <c r="BY79" s="210"/>
      <c r="BZ79" s="210"/>
      <c r="CA79" s="210"/>
      <c r="CB79" s="210"/>
      <c r="CC79" s="210"/>
      <c r="CD79" s="210"/>
      <c r="CE79" s="216"/>
      <c r="CF79" s="226"/>
      <c r="CG79" s="227"/>
      <c r="CH79" s="228"/>
      <c r="CI79" s="209"/>
      <c r="CJ79" s="210"/>
      <c r="CK79" s="210"/>
      <c r="CL79" s="210"/>
      <c r="CM79" s="210"/>
      <c r="CN79" s="210"/>
      <c r="CO79" s="210"/>
      <c r="CP79" s="211"/>
      <c r="CQ79" s="235"/>
      <c r="CR79" s="236"/>
      <c r="CS79" s="236"/>
      <c r="CT79" s="237"/>
      <c r="CU79" s="226"/>
      <c r="CV79" s="227"/>
      <c r="CW79" s="228"/>
      <c r="CX79" s="149" t="s">
        <v>46</v>
      </c>
      <c r="CY79" s="150"/>
      <c r="CZ79" s="20"/>
      <c r="DA79" s="20"/>
      <c r="DB79" s="20"/>
      <c r="DC79" s="20"/>
      <c r="DD79" s="20"/>
      <c r="DE79" s="20"/>
      <c r="DF79" s="20"/>
      <c r="DG79" s="20"/>
      <c r="DH79" s="20"/>
      <c r="DI79" s="20"/>
      <c r="DJ79" s="20"/>
      <c r="DK79" s="20"/>
      <c r="DL79" s="20"/>
      <c r="DM79" s="209"/>
      <c r="DN79" s="210"/>
      <c r="DO79" s="210"/>
      <c r="DP79" s="210"/>
      <c r="DQ79" s="210"/>
      <c r="DR79" s="210"/>
      <c r="DS79" s="210"/>
      <c r="DT79" s="216"/>
      <c r="DU79" s="226"/>
      <c r="DV79" s="227"/>
      <c r="DW79" s="228"/>
      <c r="DX79" s="209"/>
      <c r="DY79" s="210"/>
      <c r="DZ79" s="210"/>
      <c r="EA79" s="210"/>
      <c r="EB79" s="210"/>
      <c r="EC79" s="210"/>
      <c r="ED79" s="210"/>
      <c r="EE79" s="211"/>
      <c r="EF79" s="235"/>
      <c r="EG79" s="236"/>
      <c r="EH79" s="236"/>
      <c r="EI79" s="237"/>
    </row>
    <row r="80" spans="1:139" ht="14.1" customHeight="1">
      <c r="A80" s="422"/>
      <c r="B80" s="423"/>
      <c r="C80" s="259"/>
      <c r="D80" s="260"/>
      <c r="E80" s="260"/>
      <c r="F80" s="260"/>
      <c r="G80" s="260"/>
      <c r="H80" s="260"/>
      <c r="I80" s="260"/>
      <c r="J80" s="260"/>
      <c r="K80" s="260"/>
      <c r="L80" s="260"/>
      <c r="M80" s="260"/>
      <c r="N80" s="260"/>
      <c r="O80" s="261"/>
      <c r="P80" s="259"/>
      <c r="Q80" s="260"/>
      <c r="R80" s="260"/>
      <c r="S80" s="260"/>
      <c r="T80" s="260"/>
      <c r="U80" s="260"/>
      <c r="V80" s="260"/>
      <c r="W80" s="260"/>
      <c r="X80" s="260"/>
      <c r="Y80" s="260"/>
      <c r="Z80" s="260"/>
      <c r="AA80" s="260"/>
      <c r="AB80" s="260"/>
      <c r="AC80" s="260"/>
      <c r="AD80" s="260"/>
      <c r="AE80" s="261"/>
      <c r="AF80" s="259"/>
      <c r="AG80" s="260"/>
      <c r="AH80" s="260"/>
      <c r="AI80" s="260"/>
      <c r="AJ80" s="260"/>
      <c r="AK80" s="260"/>
      <c r="AL80" s="260"/>
      <c r="AM80" s="260"/>
      <c r="AN80" s="260"/>
      <c r="AO80" s="260"/>
      <c r="AP80" s="260"/>
      <c r="AQ80" s="260"/>
      <c r="AR80" s="260"/>
      <c r="AS80" s="260"/>
      <c r="AT80" s="260"/>
      <c r="AU80" s="260"/>
      <c r="AV80" s="260"/>
      <c r="AW80" s="260"/>
      <c r="AX80" s="260"/>
      <c r="AY80" s="261"/>
      <c r="AZ80" s="204"/>
      <c r="BA80" s="204"/>
      <c r="BB80" s="205"/>
      <c r="BC80" s="279"/>
      <c r="BD80" s="280"/>
      <c r="BE80" s="281"/>
      <c r="BF80" s="226"/>
      <c r="BG80" s="227"/>
      <c r="BH80" s="228"/>
      <c r="BI80" s="151"/>
      <c r="BJ80" s="150"/>
      <c r="BK80" s="20"/>
      <c r="BL80" s="20"/>
      <c r="BM80" s="20"/>
      <c r="BN80" s="20"/>
      <c r="BO80" s="20"/>
      <c r="BP80" s="20"/>
      <c r="BQ80" s="20"/>
      <c r="BR80" s="20"/>
      <c r="BS80" s="20"/>
      <c r="BT80" s="20"/>
      <c r="BU80" s="20"/>
      <c r="BV80" s="20"/>
      <c r="BW80" s="20"/>
      <c r="BX80" s="209"/>
      <c r="BY80" s="210"/>
      <c r="BZ80" s="210"/>
      <c r="CA80" s="210"/>
      <c r="CB80" s="210"/>
      <c r="CC80" s="210"/>
      <c r="CD80" s="210"/>
      <c r="CE80" s="216"/>
      <c r="CF80" s="226"/>
      <c r="CG80" s="227"/>
      <c r="CH80" s="228"/>
      <c r="CI80" s="209"/>
      <c r="CJ80" s="210"/>
      <c r="CK80" s="210"/>
      <c r="CL80" s="210"/>
      <c r="CM80" s="210"/>
      <c r="CN80" s="210"/>
      <c r="CO80" s="210"/>
      <c r="CP80" s="211"/>
      <c r="CQ80" s="235"/>
      <c r="CR80" s="236"/>
      <c r="CS80" s="236"/>
      <c r="CT80" s="237"/>
      <c r="CU80" s="226"/>
      <c r="CV80" s="227"/>
      <c r="CW80" s="228"/>
      <c r="CX80" s="151"/>
      <c r="CY80" s="150"/>
      <c r="CZ80" s="20"/>
      <c r="DA80" s="20"/>
      <c r="DB80" s="20"/>
      <c r="DC80" s="20"/>
      <c r="DD80" s="20"/>
      <c r="DE80" s="20"/>
      <c r="DF80" s="20"/>
      <c r="DG80" s="20"/>
      <c r="DH80" s="20"/>
      <c r="DI80" s="20"/>
      <c r="DJ80" s="20"/>
      <c r="DK80" s="20"/>
      <c r="DL80" s="20"/>
      <c r="DM80" s="209"/>
      <c r="DN80" s="210"/>
      <c r="DO80" s="210"/>
      <c r="DP80" s="210"/>
      <c r="DQ80" s="210"/>
      <c r="DR80" s="210"/>
      <c r="DS80" s="210"/>
      <c r="DT80" s="216"/>
      <c r="DU80" s="226"/>
      <c r="DV80" s="227"/>
      <c r="DW80" s="228"/>
      <c r="DX80" s="209"/>
      <c r="DY80" s="210"/>
      <c r="DZ80" s="210"/>
      <c r="EA80" s="210"/>
      <c r="EB80" s="210"/>
      <c r="EC80" s="210"/>
      <c r="ED80" s="210"/>
      <c r="EE80" s="211"/>
      <c r="EF80" s="235"/>
      <c r="EG80" s="236"/>
      <c r="EH80" s="236"/>
      <c r="EI80" s="237"/>
    </row>
    <row r="81" spans="1:188" ht="14.1" customHeight="1">
      <c r="A81" s="422"/>
      <c r="B81" s="423"/>
      <c r="C81" s="259"/>
      <c r="D81" s="260"/>
      <c r="E81" s="260"/>
      <c r="F81" s="260"/>
      <c r="G81" s="260"/>
      <c r="H81" s="260"/>
      <c r="I81" s="260"/>
      <c r="J81" s="260"/>
      <c r="K81" s="260"/>
      <c r="L81" s="260"/>
      <c r="M81" s="260"/>
      <c r="N81" s="260"/>
      <c r="O81" s="261"/>
      <c r="P81" s="259"/>
      <c r="Q81" s="260"/>
      <c r="R81" s="260"/>
      <c r="S81" s="260"/>
      <c r="T81" s="260"/>
      <c r="U81" s="260"/>
      <c r="V81" s="260"/>
      <c r="W81" s="260"/>
      <c r="X81" s="260"/>
      <c r="Y81" s="260"/>
      <c r="Z81" s="260"/>
      <c r="AA81" s="260"/>
      <c r="AB81" s="260"/>
      <c r="AC81" s="260"/>
      <c r="AD81" s="260"/>
      <c r="AE81" s="261"/>
      <c r="AF81" s="259"/>
      <c r="AG81" s="260"/>
      <c r="AH81" s="260"/>
      <c r="AI81" s="260"/>
      <c r="AJ81" s="260"/>
      <c r="AK81" s="260"/>
      <c r="AL81" s="260"/>
      <c r="AM81" s="260"/>
      <c r="AN81" s="260"/>
      <c r="AO81" s="260"/>
      <c r="AP81" s="260"/>
      <c r="AQ81" s="260"/>
      <c r="AR81" s="260"/>
      <c r="AS81" s="260"/>
      <c r="AT81" s="260"/>
      <c r="AU81" s="260"/>
      <c r="AV81" s="260"/>
      <c r="AW81" s="260"/>
      <c r="AX81" s="260"/>
      <c r="AY81" s="261"/>
      <c r="AZ81" s="204"/>
      <c r="BA81" s="204"/>
      <c r="BB81" s="205"/>
      <c r="BC81" s="279"/>
      <c r="BD81" s="280"/>
      <c r="BE81" s="281"/>
      <c r="BF81" s="226"/>
      <c r="BG81" s="227"/>
      <c r="BH81" s="228"/>
      <c r="BI81" s="149" t="s">
        <v>47</v>
      </c>
      <c r="BJ81" s="150"/>
      <c r="BK81" s="20"/>
      <c r="BL81" s="20"/>
      <c r="BM81" s="20"/>
      <c r="BN81" s="20"/>
      <c r="BO81" s="20"/>
      <c r="BP81" s="20"/>
      <c r="BQ81" s="20"/>
      <c r="BR81" s="20"/>
      <c r="BS81" s="20"/>
      <c r="BT81" s="20"/>
      <c r="BU81" s="20"/>
      <c r="BV81" s="20"/>
      <c r="BW81" s="20"/>
      <c r="BX81" s="209"/>
      <c r="BY81" s="210"/>
      <c r="BZ81" s="210"/>
      <c r="CA81" s="210"/>
      <c r="CB81" s="210"/>
      <c r="CC81" s="210"/>
      <c r="CD81" s="210"/>
      <c r="CE81" s="216"/>
      <c r="CF81" s="226"/>
      <c r="CG81" s="227"/>
      <c r="CH81" s="228"/>
      <c r="CI81" s="209"/>
      <c r="CJ81" s="210"/>
      <c r="CK81" s="210"/>
      <c r="CL81" s="210"/>
      <c r="CM81" s="210"/>
      <c r="CN81" s="210"/>
      <c r="CO81" s="210"/>
      <c r="CP81" s="211"/>
      <c r="CQ81" s="235"/>
      <c r="CR81" s="236"/>
      <c r="CS81" s="236"/>
      <c r="CT81" s="237"/>
      <c r="CU81" s="226"/>
      <c r="CV81" s="227"/>
      <c r="CW81" s="228"/>
      <c r="CX81" s="149" t="s">
        <v>47</v>
      </c>
      <c r="CY81" s="150"/>
      <c r="CZ81" s="20"/>
      <c r="DA81" s="20"/>
      <c r="DB81" s="20"/>
      <c r="DC81" s="20"/>
      <c r="DD81" s="20"/>
      <c r="DE81" s="20"/>
      <c r="DF81" s="20"/>
      <c r="DG81" s="20"/>
      <c r="DH81" s="20"/>
      <c r="DI81" s="20"/>
      <c r="DJ81" s="20"/>
      <c r="DK81" s="20"/>
      <c r="DL81" s="20"/>
      <c r="DM81" s="209"/>
      <c r="DN81" s="210"/>
      <c r="DO81" s="210"/>
      <c r="DP81" s="210"/>
      <c r="DQ81" s="210"/>
      <c r="DR81" s="210"/>
      <c r="DS81" s="210"/>
      <c r="DT81" s="216"/>
      <c r="DU81" s="226"/>
      <c r="DV81" s="227"/>
      <c r="DW81" s="228"/>
      <c r="DX81" s="209"/>
      <c r="DY81" s="210"/>
      <c r="DZ81" s="210"/>
      <c r="EA81" s="210"/>
      <c r="EB81" s="210"/>
      <c r="EC81" s="210"/>
      <c r="ED81" s="210"/>
      <c r="EE81" s="211"/>
      <c r="EF81" s="235"/>
      <c r="EG81" s="236"/>
      <c r="EH81" s="236"/>
      <c r="EI81" s="237"/>
    </row>
    <row r="82" spans="1:188" ht="14.1" customHeight="1">
      <c r="A82" s="422"/>
      <c r="B82" s="423"/>
      <c r="C82" s="259"/>
      <c r="D82" s="260"/>
      <c r="E82" s="260"/>
      <c r="F82" s="260"/>
      <c r="G82" s="260"/>
      <c r="H82" s="260"/>
      <c r="I82" s="260"/>
      <c r="J82" s="260"/>
      <c r="K82" s="260"/>
      <c r="L82" s="260"/>
      <c r="M82" s="260"/>
      <c r="N82" s="260"/>
      <c r="O82" s="261"/>
      <c r="P82" s="259"/>
      <c r="Q82" s="260"/>
      <c r="R82" s="260"/>
      <c r="S82" s="260"/>
      <c r="T82" s="260"/>
      <c r="U82" s="260"/>
      <c r="V82" s="260"/>
      <c r="W82" s="260"/>
      <c r="X82" s="260"/>
      <c r="Y82" s="260"/>
      <c r="Z82" s="260"/>
      <c r="AA82" s="260"/>
      <c r="AB82" s="260"/>
      <c r="AC82" s="260"/>
      <c r="AD82" s="260"/>
      <c r="AE82" s="261"/>
      <c r="AF82" s="259"/>
      <c r="AG82" s="260"/>
      <c r="AH82" s="260"/>
      <c r="AI82" s="260"/>
      <c r="AJ82" s="260"/>
      <c r="AK82" s="260"/>
      <c r="AL82" s="260"/>
      <c r="AM82" s="260"/>
      <c r="AN82" s="260"/>
      <c r="AO82" s="260"/>
      <c r="AP82" s="260"/>
      <c r="AQ82" s="260"/>
      <c r="AR82" s="260"/>
      <c r="AS82" s="260"/>
      <c r="AT82" s="260"/>
      <c r="AU82" s="260"/>
      <c r="AV82" s="260"/>
      <c r="AW82" s="260"/>
      <c r="AX82" s="260"/>
      <c r="AY82" s="261"/>
      <c r="AZ82" s="204"/>
      <c r="BA82" s="204"/>
      <c r="BB82" s="205"/>
      <c r="BC82" s="279"/>
      <c r="BD82" s="280"/>
      <c r="BE82" s="281"/>
      <c r="BF82" s="226"/>
      <c r="BG82" s="227"/>
      <c r="BH82" s="228"/>
      <c r="BI82" s="151"/>
      <c r="BJ82" s="150"/>
      <c r="BK82" s="20"/>
      <c r="BL82" s="20"/>
      <c r="BM82" s="20"/>
      <c r="BN82" s="20"/>
      <c r="BO82" s="20"/>
      <c r="BP82" s="20"/>
      <c r="BQ82" s="20"/>
      <c r="BR82" s="20"/>
      <c r="BS82" s="20"/>
      <c r="BT82" s="20"/>
      <c r="BU82" s="20"/>
      <c r="BV82" s="20"/>
      <c r="BW82" s="20"/>
      <c r="BX82" s="209"/>
      <c r="BY82" s="210"/>
      <c r="BZ82" s="210"/>
      <c r="CA82" s="210"/>
      <c r="CB82" s="210"/>
      <c r="CC82" s="210"/>
      <c r="CD82" s="210"/>
      <c r="CE82" s="216"/>
      <c r="CF82" s="226"/>
      <c r="CG82" s="227"/>
      <c r="CH82" s="228"/>
      <c r="CI82" s="209"/>
      <c r="CJ82" s="210"/>
      <c r="CK82" s="210"/>
      <c r="CL82" s="210"/>
      <c r="CM82" s="210"/>
      <c r="CN82" s="210"/>
      <c r="CO82" s="210"/>
      <c r="CP82" s="211"/>
      <c r="CQ82" s="235"/>
      <c r="CR82" s="236"/>
      <c r="CS82" s="236"/>
      <c r="CT82" s="237"/>
      <c r="CU82" s="226"/>
      <c r="CV82" s="227"/>
      <c r="CW82" s="228"/>
      <c r="CX82" s="151"/>
      <c r="CY82" s="150"/>
      <c r="CZ82" s="20"/>
      <c r="DA82" s="20"/>
      <c r="DB82" s="20"/>
      <c r="DC82" s="20"/>
      <c r="DD82" s="20"/>
      <c r="DE82" s="20"/>
      <c r="DF82" s="20"/>
      <c r="DG82" s="20"/>
      <c r="DH82" s="20"/>
      <c r="DI82" s="20"/>
      <c r="DJ82" s="20"/>
      <c r="DK82" s="20"/>
      <c r="DL82" s="20"/>
      <c r="DM82" s="209"/>
      <c r="DN82" s="210"/>
      <c r="DO82" s="210"/>
      <c r="DP82" s="210"/>
      <c r="DQ82" s="210"/>
      <c r="DR82" s="210"/>
      <c r="DS82" s="210"/>
      <c r="DT82" s="216"/>
      <c r="DU82" s="226"/>
      <c r="DV82" s="227"/>
      <c r="DW82" s="228"/>
      <c r="DX82" s="209"/>
      <c r="DY82" s="210"/>
      <c r="DZ82" s="210"/>
      <c r="EA82" s="210"/>
      <c r="EB82" s="210"/>
      <c r="EC82" s="210"/>
      <c r="ED82" s="210"/>
      <c r="EE82" s="211"/>
      <c r="EF82" s="235"/>
      <c r="EG82" s="236"/>
      <c r="EH82" s="236"/>
      <c r="EI82" s="237"/>
    </row>
    <row r="83" spans="1:188" ht="14.1" customHeight="1">
      <c r="A83" s="424"/>
      <c r="B83" s="425"/>
      <c r="C83" s="262"/>
      <c r="D83" s="263"/>
      <c r="E83" s="263"/>
      <c r="F83" s="263"/>
      <c r="G83" s="263"/>
      <c r="H83" s="263"/>
      <c r="I83" s="263"/>
      <c r="J83" s="263"/>
      <c r="K83" s="263"/>
      <c r="L83" s="263"/>
      <c r="M83" s="263"/>
      <c r="N83" s="263"/>
      <c r="O83" s="264"/>
      <c r="P83" s="262"/>
      <c r="Q83" s="263"/>
      <c r="R83" s="263"/>
      <c r="S83" s="263"/>
      <c r="T83" s="263"/>
      <c r="U83" s="263"/>
      <c r="V83" s="263"/>
      <c r="W83" s="263"/>
      <c r="X83" s="263"/>
      <c r="Y83" s="263"/>
      <c r="Z83" s="263"/>
      <c r="AA83" s="263"/>
      <c r="AB83" s="263"/>
      <c r="AC83" s="263"/>
      <c r="AD83" s="263"/>
      <c r="AE83" s="264"/>
      <c r="AF83" s="262"/>
      <c r="AG83" s="263"/>
      <c r="AH83" s="263"/>
      <c r="AI83" s="263"/>
      <c r="AJ83" s="263"/>
      <c r="AK83" s="263"/>
      <c r="AL83" s="263"/>
      <c r="AM83" s="263"/>
      <c r="AN83" s="263"/>
      <c r="AO83" s="263"/>
      <c r="AP83" s="263"/>
      <c r="AQ83" s="263"/>
      <c r="AR83" s="263"/>
      <c r="AS83" s="263"/>
      <c r="AT83" s="263"/>
      <c r="AU83" s="263"/>
      <c r="AV83" s="263"/>
      <c r="AW83" s="263"/>
      <c r="AX83" s="263"/>
      <c r="AY83" s="264"/>
      <c r="AZ83" s="204"/>
      <c r="BA83" s="204"/>
      <c r="BB83" s="205"/>
      <c r="BC83" s="282"/>
      <c r="BD83" s="283"/>
      <c r="BE83" s="284"/>
      <c r="BF83" s="229"/>
      <c r="BG83" s="230"/>
      <c r="BH83" s="231"/>
      <c r="BI83" s="218"/>
      <c r="BJ83" s="219"/>
      <c r="BK83" s="152"/>
      <c r="BL83" s="152"/>
      <c r="BM83" s="152"/>
      <c r="BN83" s="152"/>
      <c r="BO83" s="152"/>
      <c r="BP83" s="152"/>
      <c r="BQ83" s="152"/>
      <c r="BR83" s="152"/>
      <c r="BS83" s="152"/>
      <c r="BT83" s="152"/>
      <c r="BU83" s="152"/>
      <c r="BV83" s="152"/>
      <c r="BW83" s="153"/>
      <c r="BX83" s="212"/>
      <c r="BY83" s="213"/>
      <c r="BZ83" s="213"/>
      <c r="CA83" s="213"/>
      <c r="CB83" s="213"/>
      <c r="CC83" s="213"/>
      <c r="CD83" s="213"/>
      <c r="CE83" s="217"/>
      <c r="CF83" s="229"/>
      <c r="CG83" s="230"/>
      <c r="CH83" s="231"/>
      <c r="CI83" s="212"/>
      <c r="CJ83" s="213"/>
      <c r="CK83" s="213"/>
      <c r="CL83" s="213"/>
      <c r="CM83" s="213"/>
      <c r="CN83" s="213"/>
      <c r="CO83" s="213"/>
      <c r="CP83" s="214"/>
      <c r="CQ83" s="238"/>
      <c r="CR83" s="239"/>
      <c r="CS83" s="239"/>
      <c r="CT83" s="240"/>
      <c r="CU83" s="229"/>
      <c r="CV83" s="230"/>
      <c r="CW83" s="231"/>
      <c r="CX83" s="218"/>
      <c r="CY83" s="219"/>
      <c r="CZ83" s="152"/>
      <c r="DA83" s="152"/>
      <c r="DB83" s="152"/>
      <c r="DC83" s="152"/>
      <c r="DD83" s="152"/>
      <c r="DE83" s="152"/>
      <c r="DF83" s="152"/>
      <c r="DG83" s="152"/>
      <c r="DH83" s="152"/>
      <c r="DI83" s="152"/>
      <c r="DJ83" s="152"/>
      <c r="DK83" s="152"/>
      <c r="DL83" s="153"/>
      <c r="DM83" s="212"/>
      <c r="DN83" s="213"/>
      <c r="DO83" s="213"/>
      <c r="DP83" s="213"/>
      <c r="DQ83" s="213"/>
      <c r="DR83" s="213"/>
      <c r="DS83" s="213"/>
      <c r="DT83" s="217"/>
      <c r="DU83" s="229"/>
      <c r="DV83" s="230"/>
      <c r="DW83" s="231"/>
      <c r="DX83" s="212"/>
      <c r="DY83" s="213"/>
      <c r="DZ83" s="213"/>
      <c r="EA83" s="213"/>
      <c r="EB83" s="213"/>
      <c r="EC83" s="213"/>
      <c r="ED83" s="213"/>
      <c r="EE83" s="214"/>
      <c r="EF83" s="238"/>
      <c r="EG83" s="239"/>
      <c r="EH83" s="239"/>
      <c r="EI83" s="240"/>
    </row>
    <row r="84" spans="1:188" ht="14.25" customHeight="1" thickBot="1">
      <c r="BF84" s="220">
        <f>IF(SUM(BF14:BH83)=0,"",SUM(BF14:BH83))</f>
        <v>100</v>
      </c>
      <c r="BG84" s="221"/>
      <c r="BH84" s="222"/>
      <c r="BI84" s="18"/>
      <c r="BJ84" s="18"/>
      <c r="BT84" s="18"/>
      <c r="BU84" s="18"/>
      <c r="CN84" s="29"/>
      <c r="CP84" s="29" t="s">
        <v>49</v>
      </c>
      <c r="CQ84" s="241" t="str">
        <f>IF(INT(SUM(CQ14:CQ83)/5)=0,"",INT(SUM(CQ14:CQ83)/5))</f>
        <v/>
      </c>
      <c r="CR84" s="242"/>
      <c r="CS84" s="242"/>
      <c r="CT84" s="243"/>
      <c r="CU84" s="220">
        <f>IF(SUM(CU14:CW83)=0,"",SUM(CU14:CW83))</f>
        <v>100</v>
      </c>
      <c r="CV84" s="221"/>
      <c r="CW84" s="222"/>
      <c r="EC84" s="29"/>
      <c r="ED84" s="29"/>
      <c r="EE84" s="29" t="s">
        <v>50</v>
      </c>
      <c r="EF84" s="241" t="str">
        <f>IF(INT(SUM(EF14:EF83)/5)=0,"",INT(SUM(EF14:EF83)/5))</f>
        <v/>
      </c>
      <c r="EG84" s="242"/>
      <c r="EH84" s="242"/>
      <c r="EI84" s="243"/>
    </row>
    <row r="85" spans="1:188" ht="13.5" thickTop="1" thickBot="1">
      <c r="C85" s="14" t="s">
        <v>51</v>
      </c>
      <c r="BT85" s="154" t="s">
        <v>52</v>
      </c>
      <c r="BU85" s="154"/>
      <c r="DC85" s="30"/>
      <c r="DD85" s="31"/>
      <c r="DN85" s="154" t="s">
        <v>52</v>
      </c>
      <c r="EG85" s="31"/>
    </row>
    <row r="86" spans="1:188" ht="14.25" customHeight="1" thickTop="1">
      <c r="A86" s="23"/>
      <c r="B86" s="24"/>
      <c r="C86" s="247" t="s">
        <v>53</v>
      </c>
      <c r="D86" s="253"/>
      <c r="E86" s="253"/>
      <c r="F86" s="253"/>
      <c r="G86" s="253"/>
      <c r="H86" s="253"/>
      <c r="I86" s="253"/>
      <c r="J86" s="248"/>
      <c r="K86" s="389" t="s">
        <v>33</v>
      </c>
      <c r="L86" s="390"/>
      <c r="M86" s="390"/>
      <c r="N86" s="390"/>
      <c r="O86" s="390"/>
      <c r="P86" s="390"/>
      <c r="Q86" s="390"/>
      <c r="R86" s="390"/>
      <c r="S86" s="390"/>
      <c r="T86" s="391"/>
      <c r="U86" s="387" t="s">
        <v>54</v>
      </c>
      <c r="V86" s="387"/>
      <c r="W86" s="387"/>
      <c r="X86" s="387"/>
      <c r="Y86" s="387"/>
      <c r="Z86" s="387"/>
      <c r="AA86" s="387"/>
      <c r="AB86" s="387"/>
      <c r="AC86" s="387"/>
      <c r="AD86" s="387"/>
      <c r="AE86" s="387"/>
      <c r="AF86" s="387"/>
      <c r="AG86" s="387"/>
      <c r="AH86" s="387"/>
      <c r="AI86" s="387"/>
      <c r="AJ86" s="270" t="s">
        <v>35</v>
      </c>
      <c r="AK86" s="271"/>
      <c r="AL86" s="271"/>
      <c r="AM86" s="272"/>
      <c r="AN86" s="470" t="s">
        <v>37</v>
      </c>
      <c r="AO86" s="390"/>
      <c r="AP86" s="390"/>
      <c r="AQ86" s="390"/>
      <c r="AR86" s="390"/>
      <c r="AS86" s="390"/>
      <c r="AT86" s="390"/>
      <c r="AU86" s="390"/>
      <c r="AV86" s="390"/>
      <c r="AW86" s="390"/>
      <c r="AX86" s="390"/>
      <c r="AY86" s="390"/>
      <c r="AZ86" s="390"/>
      <c r="BA86" s="390"/>
      <c r="BB86" s="390"/>
      <c r="BC86" s="390"/>
      <c r="BD86" s="390"/>
      <c r="BE86" s="390"/>
      <c r="BF86" s="390"/>
      <c r="BG86" s="387" t="s">
        <v>55</v>
      </c>
      <c r="BH86" s="387"/>
      <c r="BI86" s="387"/>
      <c r="BJ86" s="387"/>
      <c r="BK86" s="387"/>
      <c r="BL86" s="387"/>
      <c r="BM86" s="387"/>
      <c r="BN86" s="387"/>
      <c r="BO86" s="387"/>
      <c r="BP86" s="387"/>
      <c r="BQ86" s="387"/>
      <c r="BR86" s="387"/>
      <c r="BS86" s="387"/>
      <c r="BT86" s="387"/>
      <c r="BU86" s="388"/>
      <c r="BV86" s="270" t="s">
        <v>39</v>
      </c>
      <c r="BW86" s="271"/>
      <c r="BX86" s="271"/>
      <c r="BY86" s="271"/>
      <c r="BZ86" s="272"/>
      <c r="CB86" s="32"/>
      <c r="CC86" s="71"/>
      <c r="CD86" s="33" t="s">
        <v>56</v>
      </c>
      <c r="CE86" s="71"/>
      <c r="CF86" s="71"/>
      <c r="CG86" s="71"/>
      <c r="CH86" s="71"/>
      <c r="CI86" s="33"/>
      <c r="CJ86" s="34"/>
      <c r="CK86" s="34"/>
      <c r="CL86" s="34"/>
      <c r="CM86" s="34"/>
      <c r="CN86" s="34"/>
      <c r="CO86" s="34"/>
      <c r="CP86" s="34"/>
      <c r="CQ86" s="34"/>
      <c r="CR86" s="34"/>
      <c r="CS86" s="34"/>
      <c r="CT86" s="34"/>
      <c r="CU86" s="34"/>
      <c r="CV86" s="34"/>
      <c r="CW86" s="34"/>
      <c r="CX86" s="34"/>
      <c r="CY86" s="34"/>
      <c r="CZ86" s="34"/>
      <c r="DA86" s="34"/>
      <c r="DB86" s="34"/>
      <c r="DC86" s="34"/>
      <c r="DD86" s="35"/>
      <c r="DE86" s="33"/>
      <c r="DF86" s="36"/>
      <c r="DG86" s="36"/>
      <c r="DH86" s="36"/>
      <c r="DI86" s="36"/>
      <c r="DJ86" s="33" t="s">
        <v>57</v>
      </c>
      <c r="DK86" s="33"/>
      <c r="DL86" s="71"/>
      <c r="DM86" s="71"/>
      <c r="DN86" s="71"/>
      <c r="DO86" s="71"/>
      <c r="DP86" s="33"/>
      <c r="DQ86" s="34"/>
      <c r="DR86" s="34"/>
      <c r="DS86" s="34"/>
      <c r="DT86" s="34"/>
      <c r="DU86" s="34"/>
      <c r="DV86" s="34"/>
      <c r="DW86" s="36"/>
      <c r="DX86" s="36"/>
      <c r="DY86" s="36"/>
      <c r="DZ86" s="37"/>
      <c r="EA86" s="35"/>
      <c r="EB86" s="35"/>
      <c r="EC86" s="35"/>
      <c r="ED86" s="35"/>
      <c r="EE86" s="35"/>
      <c r="EF86" s="35"/>
      <c r="EG86" s="35"/>
      <c r="EH86" s="35"/>
      <c r="EI86" s="38"/>
      <c r="EJ86" s="39"/>
      <c r="EK86" s="39"/>
      <c r="EL86" s="39"/>
      <c r="EM86" s="39"/>
      <c r="EN86" s="39"/>
      <c r="EO86" s="39"/>
      <c r="EP86" s="39"/>
      <c r="EQ86" s="39"/>
      <c r="ER86" s="39"/>
      <c r="ES86" s="40"/>
      <c r="ET86" s="39"/>
      <c r="EU86" s="39"/>
      <c r="EV86" s="39"/>
      <c r="EW86" s="40"/>
      <c r="EX86" s="40"/>
      <c r="EY86" s="40"/>
      <c r="EZ86" s="40"/>
      <c r="FA86" s="40"/>
      <c r="FB86" s="40"/>
      <c r="FC86" s="41"/>
      <c r="FD86" s="41"/>
      <c r="FE86" s="41"/>
      <c r="FF86" s="41"/>
      <c r="FG86" s="41"/>
      <c r="FH86" s="41"/>
      <c r="FI86" s="41"/>
      <c r="FJ86" s="41"/>
      <c r="FK86" s="41"/>
      <c r="FL86" s="41"/>
      <c r="FM86" s="41"/>
      <c r="FN86" s="41"/>
      <c r="FO86" s="41"/>
      <c r="FP86" s="41"/>
      <c r="FQ86" s="41"/>
      <c r="FR86" s="41"/>
      <c r="FS86" s="41"/>
      <c r="FT86" s="41"/>
      <c r="FU86" s="41"/>
      <c r="FV86" s="41"/>
      <c r="FW86" s="41"/>
      <c r="FX86" s="41"/>
      <c r="FY86" s="40"/>
      <c r="FZ86" s="41"/>
      <c r="GA86" s="41"/>
      <c r="GB86" s="41"/>
      <c r="GC86" s="41"/>
      <c r="GD86" s="41"/>
      <c r="GE86" s="41"/>
      <c r="GF86" s="41"/>
    </row>
    <row r="87" spans="1:188" ht="13.7" customHeight="1">
      <c r="A87" s="25"/>
      <c r="B87" s="26"/>
      <c r="C87" s="251"/>
      <c r="D87" s="255"/>
      <c r="E87" s="255"/>
      <c r="F87" s="255"/>
      <c r="G87" s="255"/>
      <c r="H87" s="255"/>
      <c r="I87" s="255"/>
      <c r="J87" s="252"/>
      <c r="K87" s="389" t="s">
        <v>58</v>
      </c>
      <c r="L87" s="390"/>
      <c r="M87" s="390"/>
      <c r="N87" s="390"/>
      <c r="O87" s="390"/>
      <c r="P87" s="390"/>
      <c r="Q87" s="390"/>
      <c r="R87" s="390"/>
      <c r="S87" s="390"/>
      <c r="T87" s="391"/>
      <c r="U87" s="385" t="s">
        <v>42</v>
      </c>
      <c r="V87" s="385"/>
      <c r="W87" s="385"/>
      <c r="X87" s="387" t="s">
        <v>59</v>
      </c>
      <c r="Y87" s="387"/>
      <c r="Z87" s="387"/>
      <c r="AA87" s="387"/>
      <c r="AB87" s="387"/>
      <c r="AC87" s="387"/>
      <c r="AD87" s="387"/>
      <c r="AE87" s="387"/>
      <c r="AF87" s="387"/>
      <c r="AG87" s="387"/>
      <c r="AH87" s="387"/>
      <c r="AI87" s="387"/>
      <c r="AJ87" s="244" t="s">
        <v>44</v>
      </c>
      <c r="AK87" s="245"/>
      <c r="AL87" s="245"/>
      <c r="AM87" s="246"/>
      <c r="AN87" s="470" t="s">
        <v>58</v>
      </c>
      <c r="AO87" s="390"/>
      <c r="AP87" s="390"/>
      <c r="AQ87" s="390"/>
      <c r="AR87" s="390"/>
      <c r="AS87" s="390"/>
      <c r="AT87" s="390"/>
      <c r="AU87" s="390"/>
      <c r="AV87" s="390"/>
      <c r="AW87" s="390"/>
      <c r="AX87" s="390"/>
      <c r="AY87" s="390"/>
      <c r="AZ87" s="390"/>
      <c r="BA87" s="390"/>
      <c r="BB87" s="390"/>
      <c r="BC87" s="390"/>
      <c r="BD87" s="390"/>
      <c r="BE87" s="390"/>
      <c r="BF87" s="390"/>
      <c r="BG87" s="385" t="s">
        <v>42</v>
      </c>
      <c r="BH87" s="385"/>
      <c r="BI87" s="385"/>
      <c r="BJ87" s="387" t="s">
        <v>59</v>
      </c>
      <c r="BK87" s="387"/>
      <c r="BL87" s="387"/>
      <c r="BM87" s="387"/>
      <c r="BN87" s="387"/>
      <c r="BO87" s="387"/>
      <c r="BP87" s="387"/>
      <c r="BQ87" s="387"/>
      <c r="BR87" s="387"/>
      <c r="BS87" s="387"/>
      <c r="BT87" s="387"/>
      <c r="BU87" s="388"/>
      <c r="BV87" s="244" t="s">
        <v>44</v>
      </c>
      <c r="BW87" s="245"/>
      <c r="BX87" s="245"/>
      <c r="BY87" s="245"/>
      <c r="BZ87" s="246"/>
      <c r="CB87" s="42"/>
      <c r="CC87" s="386" t="s">
        <v>42</v>
      </c>
      <c r="CD87" s="386"/>
      <c r="CE87" s="386" t="s">
        <v>60</v>
      </c>
      <c r="CF87" s="386"/>
      <c r="CG87" s="386"/>
      <c r="CH87" s="386"/>
      <c r="CI87" s="386"/>
      <c r="CJ87" s="386"/>
      <c r="CK87" s="386"/>
      <c r="CL87" s="386"/>
      <c r="CM87" s="386"/>
      <c r="CN87" s="386"/>
      <c r="CO87" s="200" t="s">
        <v>61</v>
      </c>
      <c r="CP87" s="201"/>
      <c r="CQ87" s="201"/>
      <c r="CR87" s="201"/>
      <c r="CS87" s="201"/>
      <c r="CT87" s="201"/>
      <c r="CU87" s="201"/>
      <c r="CV87" s="201"/>
      <c r="CW87" s="201"/>
      <c r="CX87" s="201"/>
      <c r="CY87" s="201"/>
      <c r="CZ87" s="201"/>
      <c r="DA87" s="201"/>
      <c r="DB87" s="201"/>
      <c r="DC87" s="201"/>
      <c r="DD87" s="201"/>
      <c r="DE87" s="201"/>
      <c r="DF87" s="201"/>
      <c r="DG87" s="202"/>
      <c r="DH87" s="89"/>
      <c r="DI87" s="435" t="s">
        <v>62</v>
      </c>
      <c r="DJ87" s="435"/>
      <c r="DK87" s="396" t="s">
        <v>63</v>
      </c>
      <c r="DL87" s="397"/>
      <c r="DM87" s="397"/>
      <c r="DN87" s="397"/>
      <c r="DO87" s="397"/>
      <c r="DP87" s="397"/>
      <c r="DQ87" s="397"/>
      <c r="DR87" s="397"/>
      <c r="DS87" s="397"/>
      <c r="DT87" s="397"/>
      <c r="DU87" s="397"/>
      <c r="DV87" s="397"/>
      <c r="DW87" s="397"/>
      <c r="DX87" s="397"/>
      <c r="DY87" s="397"/>
      <c r="DZ87" s="397"/>
      <c r="EA87" s="397"/>
      <c r="EB87" s="397"/>
      <c r="EC87" s="397"/>
      <c r="ED87" s="397"/>
      <c r="EE87" s="398"/>
      <c r="EF87" s="191" t="s">
        <v>64</v>
      </c>
      <c r="EG87" s="191"/>
      <c r="EH87" s="191"/>
      <c r="EI87" s="44"/>
      <c r="EJ87" s="41"/>
      <c r="EK87" s="41"/>
      <c r="EL87" s="41"/>
      <c r="EM87" s="41"/>
      <c r="EN87" s="41"/>
      <c r="EO87" s="41"/>
      <c r="EP87" s="41"/>
      <c r="EQ87" s="41"/>
      <c r="ER87" s="41"/>
      <c r="ES87" s="41"/>
      <c r="ET87" s="41"/>
      <c r="EU87" s="41"/>
      <c r="EV87" s="41"/>
      <c r="EW87" s="41"/>
      <c r="EX87" s="41"/>
      <c r="EY87" s="41"/>
      <c r="EZ87" s="41"/>
      <c r="FA87" s="41"/>
      <c r="FB87" s="40"/>
      <c r="FC87" s="41"/>
      <c r="FD87" s="41"/>
      <c r="FE87" s="41"/>
      <c r="FF87" s="41"/>
      <c r="FG87" s="41"/>
      <c r="FH87" s="41"/>
      <c r="FI87" s="41"/>
      <c r="FJ87" s="41"/>
      <c r="FK87" s="41"/>
      <c r="FL87" s="41"/>
      <c r="FM87" s="41"/>
      <c r="FN87" s="41"/>
      <c r="FO87" s="41"/>
      <c r="FP87" s="41"/>
      <c r="FQ87" s="41"/>
      <c r="FR87" s="41"/>
      <c r="FS87" s="41"/>
      <c r="FT87" s="41"/>
      <c r="FU87" s="41"/>
      <c r="FV87" s="41"/>
      <c r="FW87" s="41"/>
      <c r="FX87" s="41"/>
      <c r="FY87" s="40"/>
      <c r="FZ87" s="41"/>
      <c r="GA87" s="41"/>
      <c r="GB87" s="41"/>
      <c r="GC87" s="41"/>
      <c r="GD87" s="41"/>
      <c r="GE87" s="41"/>
      <c r="GF87" s="41"/>
    </row>
    <row r="88" spans="1:188" ht="13.5" customHeight="1">
      <c r="A88" s="27"/>
      <c r="B88" s="45"/>
      <c r="C88" s="411" t="s">
        <v>65</v>
      </c>
      <c r="D88" s="412"/>
      <c r="E88" s="412"/>
      <c r="F88" s="412"/>
      <c r="G88" s="412"/>
      <c r="H88" s="412"/>
      <c r="I88" s="412"/>
      <c r="J88" s="413"/>
      <c r="K88" s="405"/>
      <c r="L88" s="406"/>
      <c r="M88" s="406"/>
      <c r="N88" s="406"/>
      <c r="O88" s="406"/>
      <c r="P88" s="406"/>
      <c r="Q88" s="406"/>
      <c r="R88" s="406"/>
      <c r="S88" s="406"/>
      <c r="T88" s="407"/>
      <c r="U88" s="223"/>
      <c r="V88" s="224"/>
      <c r="W88" s="225"/>
      <c r="X88" s="384"/>
      <c r="Y88" s="384"/>
      <c r="Z88" s="384"/>
      <c r="AA88" s="384"/>
      <c r="AB88" s="384"/>
      <c r="AC88" s="384"/>
      <c r="AD88" s="384"/>
      <c r="AE88" s="384"/>
      <c r="AF88" s="384"/>
      <c r="AG88" s="384"/>
      <c r="AH88" s="384"/>
      <c r="AI88" s="384"/>
      <c r="AJ88" s="232" t="str">
        <f>IF(U88="","",U88)</f>
        <v/>
      </c>
      <c r="AK88" s="233"/>
      <c r="AL88" s="233"/>
      <c r="AM88" s="234"/>
      <c r="AN88" s="408"/>
      <c r="AO88" s="207"/>
      <c r="AP88" s="207"/>
      <c r="AQ88" s="207"/>
      <c r="AR88" s="207"/>
      <c r="AS88" s="207"/>
      <c r="AT88" s="207"/>
      <c r="AU88" s="207"/>
      <c r="AV88" s="207"/>
      <c r="AW88" s="207"/>
      <c r="AX88" s="207"/>
      <c r="AY88" s="207"/>
      <c r="AZ88" s="207"/>
      <c r="BA88" s="207"/>
      <c r="BB88" s="207"/>
      <c r="BC88" s="207"/>
      <c r="BD88" s="207"/>
      <c r="BE88" s="207"/>
      <c r="BF88" s="207"/>
      <c r="BG88" s="223"/>
      <c r="BH88" s="224"/>
      <c r="BI88" s="225"/>
      <c r="BJ88" s="384"/>
      <c r="BK88" s="384"/>
      <c r="BL88" s="384"/>
      <c r="BM88" s="384"/>
      <c r="BN88" s="384"/>
      <c r="BO88" s="384"/>
      <c r="BP88" s="384"/>
      <c r="BQ88" s="384"/>
      <c r="BR88" s="384"/>
      <c r="BS88" s="384"/>
      <c r="BT88" s="384"/>
      <c r="BU88" s="471"/>
      <c r="BV88" s="427" t="str">
        <f>IF(BG88="","",BG88)</f>
        <v/>
      </c>
      <c r="BW88" s="221"/>
      <c r="BX88" s="221"/>
      <c r="BY88" s="221"/>
      <c r="BZ88" s="428"/>
      <c r="CB88" s="42"/>
      <c r="CC88" s="426">
        <v>5</v>
      </c>
      <c r="CD88" s="426"/>
      <c r="CE88" s="386" t="s">
        <v>66</v>
      </c>
      <c r="CF88" s="386"/>
      <c r="CG88" s="386"/>
      <c r="CH88" s="386"/>
      <c r="CI88" s="386"/>
      <c r="CJ88" s="386"/>
      <c r="CK88" s="386"/>
      <c r="CL88" s="386"/>
      <c r="CM88" s="386"/>
      <c r="CN88" s="386"/>
      <c r="CO88" s="102" t="s">
        <v>67</v>
      </c>
      <c r="CP88" s="103"/>
      <c r="CQ88" s="103"/>
      <c r="CR88" s="103"/>
      <c r="CS88" s="103"/>
      <c r="CT88" s="103"/>
      <c r="CU88" s="103"/>
      <c r="CV88" s="103"/>
      <c r="CW88" s="103"/>
      <c r="CX88" s="103"/>
      <c r="CY88" s="103"/>
      <c r="CZ88" s="103"/>
      <c r="DA88" s="103"/>
      <c r="DB88" s="99"/>
      <c r="DC88" s="99"/>
      <c r="DD88" s="100"/>
      <c r="DE88" s="104"/>
      <c r="DF88" s="104"/>
      <c r="DG88" s="105"/>
      <c r="DH88" s="20"/>
      <c r="DI88" s="449" t="s">
        <v>68</v>
      </c>
      <c r="DJ88" s="450"/>
      <c r="DK88" s="399" t="s">
        <v>69</v>
      </c>
      <c r="DL88" s="400"/>
      <c r="DM88" s="400"/>
      <c r="DN88" s="400"/>
      <c r="DO88" s="400"/>
      <c r="DP88" s="400"/>
      <c r="DQ88" s="400"/>
      <c r="DR88" s="400"/>
      <c r="DS88" s="400"/>
      <c r="DT88" s="400"/>
      <c r="DU88" s="400"/>
      <c r="DV88" s="400"/>
      <c r="DW88" s="400"/>
      <c r="DX88" s="400"/>
      <c r="DY88" s="400"/>
      <c r="DZ88" s="400"/>
      <c r="EA88" s="400"/>
      <c r="EB88" s="400"/>
      <c r="EC88" s="400"/>
      <c r="ED88" s="400"/>
      <c r="EE88" s="401"/>
      <c r="EF88" s="192">
        <v>1.7</v>
      </c>
      <c r="EG88" s="192"/>
      <c r="EH88" s="192"/>
      <c r="EI88" s="44"/>
      <c r="EJ88" s="41"/>
      <c r="EK88" s="41"/>
      <c r="EL88" s="41"/>
      <c r="EM88" s="41"/>
      <c r="EN88" s="41"/>
      <c r="EO88" s="17"/>
      <c r="EP88" s="17"/>
      <c r="EQ88" s="17"/>
      <c r="ER88" s="17"/>
      <c r="ES88" s="17"/>
      <c r="ET88" s="17"/>
      <c r="EU88" s="41"/>
      <c r="EV88" s="17"/>
      <c r="EW88" s="17"/>
      <c r="EX88" s="17"/>
      <c r="EY88" s="17"/>
      <c r="EZ88" s="17"/>
      <c r="FA88" s="17"/>
      <c r="FB88" s="40"/>
      <c r="FC88" s="46"/>
      <c r="FD88" s="17"/>
      <c r="FE88" s="41"/>
      <c r="FF88" s="17"/>
      <c r="FG88" s="17"/>
      <c r="FH88" s="17"/>
      <c r="FI88" s="17"/>
      <c r="FJ88" s="17"/>
      <c r="FK88" s="17"/>
      <c r="FL88" s="17"/>
      <c r="FM88" s="17"/>
      <c r="FN88" s="41"/>
      <c r="FO88" s="41"/>
      <c r="FP88" s="41"/>
      <c r="FQ88" s="41"/>
      <c r="FR88" s="41"/>
      <c r="FS88" s="41"/>
      <c r="FT88" s="41"/>
      <c r="FU88" s="41"/>
      <c r="FV88" s="41"/>
      <c r="FW88" s="41"/>
      <c r="FX88" s="41"/>
      <c r="FY88" s="40"/>
      <c r="FZ88" s="41"/>
      <c r="GA88" s="17"/>
      <c r="GB88" s="17"/>
      <c r="GC88" s="17"/>
      <c r="GD88" s="17"/>
      <c r="GE88" s="41"/>
      <c r="GF88" s="17"/>
    </row>
    <row r="89" spans="1:188" ht="13.5">
      <c r="A89" s="249" t="s">
        <v>70</v>
      </c>
      <c r="B89" s="250"/>
      <c r="C89" s="414"/>
      <c r="D89" s="415"/>
      <c r="E89" s="415"/>
      <c r="F89" s="415"/>
      <c r="G89" s="415"/>
      <c r="H89" s="415"/>
      <c r="I89" s="415"/>
      <c r="J89" s="416"/>
      <c r="K89" s="405"/>
      <c r="L89" s="406"/>
      <c r="M89" s="406"/>
      <c r="N89" s="406"/>
      <c r="O89" s="406"/>
      <c r="P89" s="406"/>
      <c r="Q89" s="406"/>
      <c r="R89" s="406"/>
      <c r="S89" s="406"/>
      <c r="T89" s="407"/>
      <c r="U89" s="226"/>
      <c r="V89" s="227"/>
      <c r="W89" s="228"/>
      <c r="X89" s="384"/>
      <c r="Y89" s="384"/>
      <c r="Z89" s="384"/>
      <c r="AA89" s="384"/>
      <c r="AB89" s="384"/>
      <c r="AC89" s="384"/>
      <c r="AD89" s="384"/>
      <c r="AE89" s="384"/>
      <c r="AF89" s="384"/>
      <c r="AG89" s="384"/>
      <c r="AH89" s="384"/>
      <c r="AI89" s="384"/>
      <c r="AJ89" s="235"/>
      <c r="AK89" s="236"/>
      <c r="AL89" s="236"/>
      <c r="AM89" s="237"/>
      <c r="AN89" s="409"/>
      <c r="AO89" s="210"/>
      <c r="AP89" s="210"/>
      <c r="AQ89" s="210"/>
      <c r="AR89" s="210"/>
      <c r="AS89" s="210"/>
      <c r="AT89" s="210"/>
      <c r="AU89" s="210"/>
      <c r="AV89" s="210"/>
      <c r="AW89" s="210"/>
      <c r="AX89" s="210"/>
      <c r="AY89" s="210"/>
      <c r="AZ89" s="210"/>
      <c r="BA89" s="210"/>
      <c r="BB89" s="210"/>
      <c r="BC89" s="210"/>
      <c r="BD89" s="210"/>
      <c r="BE89" s="210"/>
      <c r="BF89" s="210"/>
      <c r="BG89" s="226"/>
      <c r="BH89" s="227"/>
      <c r="BI89" s="228"/>
      <c r="BJ89" s="384"/>
      <c r="BK89" s="384"/>
      <c r="BL89" s="384"/>
      <c r="BM89" s="384"/>
      <c r="BN89" s="384"/>
      <c r="BO89" s="384"/>
      <c r="BP89" s="384"/>
      <c r="BQ89" s="384"/>
      <c r="BR89" s="384"/>
      <c r="BS89" s="384"/>
      <c r="BT89" s="384"/>
      <c r="BU89" s="471"/>
      <c r="BV89" s="427"/>
      <c r="BW89" s="221"/>
      <c r="BX89" s="221"/>
      <c r="BY89" s="221"/>
      <c r="BZ89" s="428"/>
      <c r="CB89" s="42"/>
      <c r="CC89" s="426">
        <v>4</v>
      </c>
      <c r="CD89" s="426"/>
      <c r="CE89" s="386" t="s">
        <v>71</v>
      </c>
      <c r="CF89" s="386"/>
      <c r="CG89" s="386"/>
      <c r="CH89" s="386"/>
      <c r="CI89" s="386"/>
      <c r="CJ89" s="386"/>
      <c r="CK89" s="386"/>
      <c r="CL89" s="386"/>
      <c r="CM89" s="386"/>
      <c r="CN89" s="386"/>
      <c r="CO89" s="102" t="s">
        <v>72</v>
      </c>
      <c r="CP89" s="103"/>
      <c r="CQ89" s="103"/>
      <c r="CR89" s="103"/>
      <c r="CS89" s="103"/>
      <c r="CT89" s="103"/>
      <c r="CU89" s="103"/>
      <c r="CV89" s="103"/>
      <c r="CW89" s="103"/>
      <c r="CX89" s="103"/>
      <c r="CY89" s="103"/>
      <c r="CZ89" s="103"/>
      <c r="DA89" s="103"/>
      <c r="DB89" s="99"/>
      <c r="DC89" s="99"/>
      <c r="DD89" s="100"/>
      <c r="DE89" s="104"/>
      <c r="DF89" s="104"/>
      <c r="DG89" s="105"/>
      <c r="DH89" s="20"/>
      <c r="DI89" s="451"/>
      <c r="DJ89" s="452"/>
      <c r="DK89" s="402"/>
      <c r="DL89" s="403"/>
      <c r="DM89" s="403"/>
      <c r="DN89" s="403"/>
      <c r="DO89" s="403"/>
      <c r="DP89" s="403"/>
      <c r="DQ89" s="403"/>
      <c r="DR89" s="403"/>
      <c r="DS89" s="403"/>
      <c r="DT89" s="403"/>
      <c r="DU89" s="403"/>
      <c r="DV89" s="403"/>
      <c r="DW89" s="403"/>
      <c r="DX89" s="403"/>
      <c r="DY89" s="403"/>
      <c r="DZ89" s="403"/>
      <c r="EA89" s="403"/>
      <c r="EB89" s="403"/>
      <c r="EC89" s="403"/>
      <c r="ED89" s="403"/>
      <c r="EE89" s="404"/>
      <c r="EF89" s="192"/>
      <c r="EG89" s="192"/>
      <c r="EH89" s="192"/>
      <c r="EI89" s="44"/>
      <c r="EJ89" s="41"/>
      <c r="EK89" s="41"/>
      <c r="EL89" s="41"/>
      <c r="EM89" s="41"/>
      <c r="EN89" s="17"/>
      <c r="EO89" s="17"/>
      <c r="EP89" s="17"/>
      <c r="EQ89" s="17"/>
      <c r="ER89" s="17"/>
      <c r="ES89" s="17"/>
      <c r="ET89" s="17"/>
      <c r="EU89" s="17"/>
      <c r="EV89" s="17"/>
      <c r="EW89" s="17"/>
      <c r="EX89" s="17"/>
      <c r="EY89" s="17"/>
      <c r="EZ89" s="17"/>
      <c r="FA89" s="17"/>
      <c r="FB89" s="40"/>
      <c r="FC89" s="17"/>
      <c r="FD89" s="17"/>
      <c r="FE89" s="17"/>
      <c r="FF89" s="17"/>
      <c r="FG89" s="17"/>
      <c r="FH89" s="17"/>
      <c r="FI89" s="17"/>
      <c r="FJ89" s="17"/>
      <c r="FK89" s="17"/>
      <c r="FL89" s="17"/>
      <c r="FM89" s="17"/>
      <c r="FN89" s="41"/>
      <c r="FO89" s="41"/>
      <c r="FP89" s="41"/>
      <c r="FQ89" s="41"/>
      <c r="FR89" s="41"/>
      <c r="FS89" s="41"/>
      <c r="FT89" s="41"/>
      <c r="FU89" s="41"/>
      <c r="FV89" s="41"/>
      <c r="FW89" s="41"/>
      <c r="FX89" s="41"/>
      <c r="FY89" s="40"/>
      <c r="FZ89" s="17"/>
      <c r="GA89" s="17"/>
      <c r="GB89" s="17"/>
      <c r="GC89" s="17"/>
      <c r="GD89" s="17"/>
      <c r="GE89" s="17"/>
      <c r="GF89" s="17"/>
    </row>
    <row r="90" spans="1:188" ht="13.5" customHeight="1">
      <c r="A90" s="249" t="s">
        <v>73</v>
      </c>
      <c r="B90" s="250"/>
      <c r="C90" s="414"/>
      <c r="D90" s="415"/>
      <c r="E90" s="415"/>
      <c r="F90" s="415"/>
      <c r="G90" s="415"/>
      <c r="H90" s="415"/>
      <c r="I90" s="415"/>
      <c r="J90" s="416"/>
      <c r="K90" s="405"/>
      <c r="L90" s="406"/>
      <c r="M90" s="406"/>
      <c r="N90" s="406"/>
      <c r="O90" s="406"/>
      <c r="P90" s="406"/>
      <c r="Q90" s="406"/>
      <c r="R90" s="406"/>
      <c r="S90" s="406"/>
      <c r="T90" s="407"/>
      <c r="U90" s="226"/>
      <c r="V90" s="227"/>
      <c r="W90" s="228"/>
      <c r="X90" s="384"/>
      <c r="Y90" s="384"/>
      <c r="Z90" s="384"/>
      <c r="AA90" s="384"/>
      <c r="AB90" s="384"/>
      <c r="AC90" s="384"/>
      <c r="AD90" s="384"/>
      <c r="AE90" s="384"/>
      <c r="AF90" s="384"/>
      <c r="AG90" s="384"/>
      <c r="AH90" s="384"/>
      <c r="AI90" s="384"/>
      <c r="AJ90" s="235"/>
      <c r="AK90" s="236"/>
      <c r="AL90" s="236"/>
      <c r="AM90" s="237"/>
      <c r="AN90" s="409"/>
      <c r="AO90" s="210"/>
      <c r="AP90" s="210"/>
      <c r="AQ90" s="210"/>
      <c r="AR90" s="210"/>
      <c r="AS90" s="210"/>
      <c r="AT90" s="210"/>
      <c r="AU90" s="210"/>
      <c r="AV90" s="210"/>
      <c r="AW90" s="210"/>
      <c r="AX90" s="210"/>
      <c r="AY90" s="210"/>
      <c r="AZ90" s="210"/>
      <c r="BA90" s="210"/>
      <c r="BB90" s="210"/>
      <c r="BC90" s="210"/>
      <c r="BD90" s="210"/>
      <c r="BE90" s="210"/>
      <c r="BF90" s="210"/>
      <c r="BG90" s="226"/>
      <c r="BH90" s="227"/>
      <c r="BI90" s="228"/>
      <c r="BJ90" s="384"/>
      <c r="BK90" s="384"/>
      <c r="BL90" s="384"/>
      <c r="BM90" s="384"/>
      <c r="BN90" s="384"/>
      <c r="BO90" s="384"/>
      <c r="BP90" s="384"/>
      <c r="BQ90" s="384"/>
      <c r="BR90" s="384"/>
      <c r="BS90" s="384"/>
      <c r="BT90" s="384"/>
      <c r="BU90" s="471"/>
      <c r="BV90" s="427"/>
      <c r="BW90" s="221"/>
      <c r="BX90" s="221"/>
      <c r="BY90" s="221"/>
      <c r="BZ90" s="428"/>
      <c r="CB90" s="42"/>
      <c r="CC90" s="426">
        <v>3</v>
      </c>
      <c r="CD90" s="426"/>
      <c r="CE90" s="386" t="s">
        <v>74</v>
      </c>
      <c r="CF90" s="386"/>
      <c r="CG90" s="386"/>
      <c r="CH90" s="386"/>
      <c r="CI90" s="386"/>
      <c r="CJ90" s="386"/>
      <c r="CK90" s="386"/>
      <c r="CL90" s="386"/>
      <c r="CM90" s="386"/>
      <c r="CN90" s="386"/>
      <c r="CO90" s="102" t="s">
        <v>75</v>
      </c>
      <c r="CP90" s="103"/>
      <c r="CQ90" s="103"/>
      <c r="CR90" s="103"/>
      <c r="CS90" s="103"/>
      <c r="CT90" s="103"/>
      <c r="CU90" s="103"/>
      <c r="CV90" s="103"/>
      <c r="CW90" s="103"/>
      <c r="CX90" s="103"/>
      <c r="CY90" s="103"/>
      <c r="CZ90" s="103"/>
      <c r="DA90" s="103"/>
      <c r="DB90" s="99"/>
      <c r="DC90" s="99"/>
      <c r="DD90" s="100"/>
      <c r="DE90" s="106"/>
      <c r="DF90" s="100"/>
      <c r="DG90" s="107"/>
      <c r="DH90" s="43"/>
      <c r="DI90" s="392" t="s">
        <v>76</v>
      </c>
      <c r="DJ90" s="393"/>
      <c r="DK90" s="436" t="s">
        <v>77</v>
      </c>
      <c r="DL90" s="437"/>
      <c r="DM90" s="437"/>
      <c r="DN90" s="437"/>
      <c r="DO90" s="437"/>
      <c r="DP90" s="437"/>
      <c r="DQ90" s="437"/>
      <c r="DR90" s="437"/>
      <c r="DS90" s="437"/>
      <c r="DT90" s="437"/>
      <c r="DU90" s="437"/>
      <c r="DV90" s="437"/>
      <c r="DW90" s="437"/>
      <c r="DX90" s="437"/>
      <c r="DY90" s="437"/>
      <c r="DZ90" s="437"/>
      <c r="EA90" s="437"/>
      <c r="EB90" s="437"/>
      <c r="EC90" s="437"/>
      <c r="ED90" s="437"/>
      <c r="EE90" s="438"/>
      <c r="EF90" s="192">
        <v>1</v>
      </c>
      <c r="EG90" s="192"/>
      <c r="EH90" s="192"/>
      <c r="EI90" s="47"/>
      <c r="ER90" s="17"/>
      <c r="ES90" s="17"/>
      <c r="ET90" s="17"/>
      <c r="EU90" s="17"/>
      <c r="EV90" s="17"/>
      <c r="EW90" s="17"/>
      <c r="EX90" s="17"/>
      <c r="EY90" s="17"/>
      <c r="EZ90" s="17"/>
      <c r="FA90" s="17"/>
      <c r="FB90" s="40"/>
      <c r="FC90" s="46"/>
      <c r="FD90" s="17"/>
      <c r="FE90" s="41"/>
      <c r="FF90" s="17"/>
      <c r="FG90" s="17"/>
      <c r="FH90" s="17"/>
      <c r="FI90" s="17"/>
      <c r="FJ90" s="17"/>
      <c r="FK90" s="17"/>
      <c r="FL90" s="17"/>
      <c r="FM90" s="17"/>
      <c r="FN90" s="41"/>
      <c r="FO90" s="41"/>
      <c r="FP90" s="41"/>
      <c r="FQ90" s="41"/>
      <c r="FR90" s="41"/>
      <c r="FS90" s="41"/>
      <c r="FT90" s="41"/>
      <c r="FU90" s="41"/>
      <c r="FV90" s="41"/>
      <c r="FW90" s="41"/>
      <c r="FX90" s="41"/>
      <c r="FY90" s="40"/>
      <c r="FZ90" s="41"/>
      <c r="GA90" s="17"/>
      <c r="GB90" s="17"/>
      <c r="GC90" s="17"/>
      <c r="GD90" s="17"/>
      <c r="GE90" s="41"/>
      <c r="GF90" s="17"/>
    </row>
    <row r="91" spans="1:188" ht="13.7" customHeight="1">
      <c r="A91" s="249" t="s">
        <v>78</v>
      </c>
      <c r="B91" s="250"/>
      <c r="C91" s="414"/>
      <c r="D91" s="415"/>
      <c r="E91" s="415"/>
      <c r="F91" s="415"/>
      <c r="G91" s="415"/>
      <c r="H91" s="415"/>
      <c r="I91" s="415"/>
      <c r="J91" s="416"/>
      <c r="K91" s="405"/>
      <c r="L91" s="406"/>
      <c r="M91" s="406"/>
      <c r="N91" s="406"/>
      <c r="O91" s="406"/>
      <c r="P91" s="406"/>
      <c r="Q91" s="406"/>
      <c r="R91" s="406"/>
      <c r="S91" s="406"/>
      <c r="T91" s="407"/>
      <c r="U91" s="226"/>
      <c r="V91" s="227"/>
      <c r="W91" s="228"/>
      <c r="X91" s="384"/>
      <c r="Y91" s="384"/>
      <c r="Z91" s="384"/>
      <c r="AA91" s="384"/>
      <c r="AB91" s="384"/>
      <c r="AC91" s="384"/>
      <c r="AD91" s="384"/>
      <c r="AE91" s="384"/>
      <c r="AF91" s="384"/>
      <c r="AG91" s="384"/>
      <c r="AH91" s="384"/>
      <c r="AI91" s="384"/>
      <c r="AJ91" s="235"/>
      <c r="AK91" s="236"/>
      <c r="AL91" s="236"/>
      <c r="AM91" s="237"/>
      <c r="AN91" s="409"/>
      <c r="AO91" s="210"/>
      <c r="AP91" s="210"/>
      <c r="AQ91" s="210"/>
      <c r="AR91" s="210"/>
      <c r="AS91" s="210"/>
      <c r="AT91" s="210"/>
      <c r="AU91" s="210"/>
      <c r="AV91" s="210"/>
      <c r="AW91" s="210"/>
      <c r="AX91" s="210"/>
      <c r="AY91" s="210"/>
      <c r="AZ91" s="210"/>
      <c r="BA91" s="210"/>
      <c r="BB91" s="210"/>
      <c r="BC91" s="210"/>
      <c r="BD91" s="210"/>
      <c r="BE91" s="210"/>
      <c r="BF91" s="210"/>
      <c r="BG91" s="226"/>
      <c r="BH91" s="227"/>
      <c r="BI91" s="228"/>
      <c r="BJ91" s="384"/>
      <c r="BK91" s="384"/>
      <c r="BL91" s="384"/>
      <c r="BM91" s="384"/>
      <c r="BN91" s="384"/>
      <c r="BO91" s="384"/>
      <c r="BP91" s="384"/>
      <c r="BQ91" s="384"/>
      <c r="BR91" s="384"/>
      <c r="BS91" s="384"/>
      <c r="BT91" s="384"/>
      <c r="BU91" s="471"/>
      <c r="BV91" s="427"/>
      <c r="BW91" s="221"/>
      <c r="BX91" s="221"/>
      <c r="BY91" s="221"/>
      <c r="BZ91" s="428"/>
      <c r="CB91" s="42"/>
      <c r="CC91" s="194">
        <v>2</v>
      </c>
      <c r="CD91" s="195"/>
      <c r="CE91" s="196" t="s">
        <v>79</v>
      </c>
      <c r="CF91" s="197"/>
      <c r="CG91" s="197"/>
      <c r="CH91" s="197"/>
      <c r="CI91" s="197"/>
      <c r="CJ91" s="197"/>
      <c r="CK91" s="197"/>
      <c r="CL91" s="197"/>
      <c r="CM91" s="197"/>
      <c r="CN91" s="198"/>
      <c r="CO91" s="102" t="s">
        <v>80</v>
      </c>
      <c r="CP91" s="103"/>
      <c r="CQ91" s="103"/>
      <c r="CR91" s="103"/>
      <c r="CS91" s="103"/>
      <c r="CT91" s="103"/>
      <c r="CU91" s="103"/>
      <c r="CV91" s="103"/>
      <c r="CW91" s="103"/>
      <c r="CX91" s="103"/>
      <c r="CY91" s="103"/>
      <c r="CZ91" s="103"/>
      <c r="DA91" s="103"/>
      <c r="DB91" s="103"/>
      <c r="DC91" s="103"/>
      <c r="DD91" s="100"/>
      <c r="DE91" s="103"/>
      <c r="DF91" s="103"/>
      <c r="DG91" s="108"/>
      <c r="DH91" s="30"/>
      <c r="DI91" s="394"/>
      <c r="DJ91" s="395"/>
      <c r="DK91" s="439"/>
      <c r="DL91" s="440"/>
      <c r="DM91" s="440"/>
      <c r="DN91" s="440"/>
      <c r="DO91" s="440"/>
      <c r="DP91" s="440"/>
      <c r="DQ91" s="440"/>
      <c r="DR91" s="440"/>
      <c r="DS91" s="440"/>
      <c r="DT91" s="440"/>
      <c r="DU91" s="440"/>
      <c r="DV91" s="440"/>
      <c r="DW91" s="440"/>
      <c r="DX91" s="440"/>
      <c r="DY91" s="440"/>
      <c r="DZ91" s="440"/>
      <c r="EA91" s="440"/>
      <c r="EB91" s="440"/>
      <c r="EC91" s="440"/>
      <c r="ED91" s="440"/>
      <c r="EE91" s="441"/>
      <c r="EF91" s="192"/>
      <c r="EG91" s="192"/>
      <c r="EH91" s="192"/>
      <c r="EI91" s="47"/>
      <c r="ES91" s="17"/>
      <c r="ET91" s="17"/>
      <c r="EU91" s="17"/>
      <c r="EV91" s="17"/>
      <c r="EW91" s="17"/>
      <c r="EX91" s="17"/>
      <c r="EY91" s="17"/>
      <c r="EZ91" s="17"/>
      <c r="FA91" s="17"/>
      <c r="FB91" s="40"/>
      <c r="FC91" s="17"/>
      <c r="FD91" s="17"/>
      <c r="FE91" s="17"/>
      <c r="FF91" s="17"/>
      <c r="FG91" s="17"/>
      <c r="FH91" s="17"/>
      <c r="FI91" s="17"/>
      <c r="FJ91" s="17"/>
      <c r="FK91" s="17"/>
      <c r="FL91" s="17"/>
      <c r="FM91" s="17"/>
      <c r="FN91" s="41"/>
      <c r="FO91" s="41"/>
      <c r="FP91" s="41"/>
      <c r="FQ91" s="41"/>
      <c r="FR91" s="41"/>
      <c r="FS91" s="41"/>
      <c r="FT91" s="41"/>
      <c r="FU91" s="41"/>
      <c r="FV91" s="41"/>
      <c r="FW91" s="41"/>
      <c r="FX91" s="41"/>
      <c r="FY91" s="40"/>
      <c r="FZ91" s="17"/>
      <c r="GA91" s="17"/>
      <c r="GB91" s="17"/>
      <c r="GC91" s="17"/>
      <c r="GD91" s="17"/>
      <c r="GE91" s="17"/>
      <c r="GF91" s="17"/>
    </row>
    <row r="92" spans="1:188" ht="13.7" customHeight="1">
      <c r="A92" s="249" t="s">
        <v>81</v>
      </c>
      <c r="B92" s="250"/>
      <c r="C92" s="414"/>
      <c r="D92" s="415"/>
      <c r="E92" s="415"/>
      <c r="F92" s="415"/>
      <c r="G92" s="415"/>
      <c r="H92" s="415"/>
      <c r="I92" s="415"/>
      <c r="J92" s="416"/>
      <c r="K92" s="405"/>
      <c r="L92" s="406"/>
      <c r="M92" s="406"/>
      <c r="N92" s="406"/>
      <c r="O92" s="406"/>
      <c r="P92" s="406"/>
      <c r="Q92" s="406"/>
      <c r="R92" s="406"/>
      <c r="S92" s="406"/>
      <c r="T92" s="407"/>
      <c r="U92" s="226"/>
      <c r="V92" s="227"/>
      <c r="W92" s="228"/>
      <c r="X92" s="384"/>
      <c r="Y92" s="384"/>
      <c r="Z92" s="384"/>
      <c r="AA92" s="384"/>
      <c r="AB92" s="384"/>
      <c r="AC92" s="384"/>
      <c r="AD92" s="384"/>
      <c r="AE92" s="384"/>
      <c r="AF92" s="384"/>
      <c r="AG92" s="384"/>
      <c r="AH92" s="384"/>
      <c r="AI92" s="384"/>
      <c r="AJ92" s="235"/>
      <c r="AK92" s="236"/>
      <c r="AL92" s="236"/>
      <c r="AM92" s="237"/>
      <c r="AN92" s="409"/>
      <c r="AO92" s="210"/>
      <c r="AP92" s="210"/>
      <c r="AQ92" s="210"/>
      <c r="AR92" s="210"/>
      <c r="AS92" s="210"/>
      <c r="AT92" s="210"/>
      <c r="AU92" s="210"/>
      <c r="AV92" s="210"/>
      <c r="AW92" s="210"/>
      <c r="AX92" s="210"/>
      <c r="AY92" s="210"/>
      <c r="AZ92" s="210"/>
      <c r="BA92" s="210"/>
      <c r="BB92" s="210"/>
      <c r="BC92" s="210"/>
      <c r="BD92" s="210"/>
      <c r="BE92" s="210"/>
      <c r="BF92" s="210"/>
      <c r="BG92" s="226"/>
      <c r="BH92" s="227"/>
      <c r="BI92" s="228"/>
      <c r="BJ92" s="384"/>
      <c r="BK92" s="384"/>
      <c r="BL92" s="384"/>
      <c r="BM92" s="384"/>
      <c r="BN92" s="384"/>
      <c r="BO92" s="384"/>
      <c r="BP92" s="384"/>
      <c r="BQ92" s="384"/>
      <c r="BR92" s="384"/>
      <c r="BS92" s="384"/>
      <c r="BT92" s="384"/>
      <c r="BU92" s="471"/>
      <c r="BV92" s="427"/>
      <c r="BW92" s="221"/>
      <c r="BX92" s="221"/>
      <c r="BY92" s="221"/>
      <c r="BZ92" s="428"/>
      <c r="CB92" s="42"/>
      <c r="CC92" s="194">
        <v>1</v>
      </c>
      <c r="CD92" s="195"/>
      <c r="CE92" s="196" t="s">
        <v>82</v>
      </c>
      <c r="CF92" s="197"/>
      <c r="CG92" s="197"/>
      <c r="CH92" s="197"/>
      <c r="CI92" s="197"/>
      <c r="CJ92" s="197"/>
      <c r="CK92" s="197"/>
      <c r="CL92" s="197"/>
      <c r="CM92" s="197"/>
      <c r="CN92" s="198"/>
      <c r="CO92" s="97" t="s">
        <v>83</v>
      </c>
      <c r="CP92" s="99"/>
      <c r="CQ92" s="97"/>
      <c r="CR92" s="98"/>
      <c r="CS92" s="98"/>
      <c r="CT92" s="98"/>
      <c r="CU92" s="98"/>
      <c r="CV92" s="98"/>
      <c r="CW92" s="98"/>
      <c r="CX92" s="98"/>
      <c r="CY92" s="98"/>
      <c r="CZ92" s="98"/>
      <c r="DA92" s="98"/>
      <c r="DB92" s="99"/>
      <c r="DC92" s="99"/>
      <c r="DD92" s="100"/>
      <c r="DE92" s="91"/>
      <c r="DF92" s="91"/>
      <c r="DG92" s="92"/>
      <c r="DH92" s="90"/>
      <c r="DI92" s="392" t="s">
        <v>84</v>
      </c>
      <c r="DJ92" s="393"/>
      <c r="DK92" s="436" t="s">
        <v>85</v>
      </c>
      <c r="DL92" s="437"/>
      <c r="DM92" s="437"/>
      <c r="DN92" s="437"/>
      <c r="DO92" s="437"/>
      <c r="DP92" s="437"/>
      <c r="DQ92" s="437"/>
      <c r="DR92" s="437"/>
      <c r="DS92" s="437"/>
      <c r="DT92" s="437"/>
      <c r="DU92" s="437"/>
      <c r="DV92" s="437"/>
      <c r="DW92" s="437"/>
      <c r="DX92" s="437"/>
      <c r="DY92" s="437"/>
      <c r="DZ92" s="437"/>
      <c r="EA92" s="437"/>
      <c r="EB92" s="437"/>
      <c r="EC92" s="437"/>
      <c r="ED92" s="437"/>
      <c r="EE92" s="438"/>
      <c r="EF92" s="192">
        <v>0.7</v>
      </c>
      <c r="EG92" s="192"/>
      <c r="EH92" s="192"/>
      <c r="EI92" s="47"/>
      <c r="EZ92" s="17"/>
      <c r="FA92" s="17"/>
      <c r="FB92" s="40"/>
      <c r="FC92" s="46"/>
      <c r="FD92" s="17"/>
      <c r="FE92" s="41"/>
      <c r="FF92" s="17"/>
      <c r="FG92" s="17"/>
      <c r="FH92" s="17"/>
      <c r="FI92" s="17"/>
      <c r="FJ92" s="17"/>
      <c r="FK92" s="17"/>
      <c r="FL92" s="17"/>
      <c r="FM92" s="17"/>
      <c r="FN92" s="41"/>
      <c r="FO92" s="41"/>
      <c r="FP92" s="41"/>
      <c r="FQ92" s="41"/>
      <c r="FR92" s="41"/>
      <c r="FS92" s="41"/>
      <c r="FT92" s="41"/>
      <c r="FU92" s="41"/>
      <c r="FV92" s="41"/>
      <c r="FW92" s="41"/>
      <c r="FX92" s="41"/>
      <c r="FY92" s="40"/>
      <c r="FZ92" s="41"/>
      <c r="GA92" s="17"/>
      <c r="GB92" s="17"/>
      <c r="GC92" s="17"/>
      <c r="GD92" s="17"/>
      <c r="GE92" s="41"/>
      <c r="GF92" s="17"/>
    </row>
    <row r="93" spans="1:188" ht="14.25" customHeight="1">
      <c r="A93" s="249" t="s">
        <v>86</v>
      </c>
      <c r="B93" s="250"/>
      <c r="C93" s="414"/>
      <c r="D93" s="415"/>
      <c r="E93" s="415"/>
      <c r="F93" s="415"/>
      <c r="G93" s="415"/>
      <c r="H93" s="415"/>
      <c r="I93" s="415"/>
      <c r="J93" s="416"/>
      <c r="K93" s="405"/>
      <c r="L93" s="406"/>
      <c r="M93" s="406"/>
      <c r="N93" s="406"/>
      <c r="O93" s="406"/>
      <c r="P93" s="406"/>
      <c r="Q93" s="406"/>
      <c r="R93" s="406"/>
      <c r="S93" s="406"/>
      <c r="T93" s="407"/>
      <c r="U93" s="226"/>
      <c r="V93" s="227"/>
      <c r="W93" s="228"/>
      <c r="X93" s="384"/>
      <c r="Y93" s="384"/>
      <c r="Z93" s="384"/>
      <c r="AA93" s="384"/>
      <c r="AB93" s="384"/>
      <c r="AC93" s="384"/>
      <c r="AD93" s="384"/>
      <c r="AE93" s="384"/>
      <c r="AF93" s="384"/>
      <c r="AG93" s="384"/>
      <c r="AH93" s="384"/>
      <c r="AI93" s="384"/>
      <c r="AJ93" s="235"/>
      <c r="AK93" s="236"/>
      <c r="AL93" s="236"/>
      <c r="AM93" s="237"/>
      <c r="AN93" s="409"/>
      <c r="AO93" s="210"/>
      <c r="AP93" s="210"/>
      <c r="AQ93" s="210"/>
      <c r="AR93" s="210"/>
      <c r="AS93" s="210"/>
      <c r="AT93" s="210"/>
      <c r="AU93" s="210"/>
      <c r="AV93" s="210"/>
      <c r="AW93" s="210"/>
      <c r="AX93" s="210"/>
      <c r="AY93" s="210"/>
      <c r="AZ93" s="210"/>
      <c r="BA93" s="210"/>
      <c r="BB93" s="210"/>
      <c r="BC93" s="210"/>
      <c r="BD93" s="210"/>
      <c r="BE93" s="210"/>
      <c r="BF93" s="210"/>
      <c r="BG93" s="226"/>
      <c r="BH93" s="227"/>
      <c r="BI93" s="228"/>
      <c r="BJ93" s="384"/>
      <c r="BK93" s="384"/>
      <c r="BL93" s="384"/>
      <c r="BM93" s="384"/>
      <c r="BN93" s="384"/>
      <c r="BO93" s="384"/>
      <c r="BP93" s="384"/>
      <c r="BQ93" s="384"/>
      <c r="BR93" s="384"/>
      <c r="BS93" s="384"/>
      <c r="BT93" s="384"/>
      <c r="BU93" s="471"/>
      <c r="BV93" s="427"/>
      <c r="BW93" s="221"/>
      <c r="BX93" s="221"/>
      <c r="BY93" s="221"/>
      <c r="BZ93" s="428"/>
      <c r="CB93" s="42"/>
      <c r="CC93" s="101"/>
      <c r="CD93" s="101"/>
      <c r="CE93" s="199"/>
      <c r="CF93" s="199"/>
      <c r="CG93" s="199"/>
      <c r="CH93" s="199"/>
      <c r="CI93" s="199"/>
      <c r="CJ93" s="199"/>
      <c r="CK93" s="199"/>
      <c r="CL93" s="199"/>
      <c r="CM93" s="199"/>
      <c r="CN93" s="199"/>
      <c r="CO93" s="203"/>
      <c r="CP93" s="203"/>
      <c r="CQ93" s="203"/>
      <c r="CR93" s="203"/>
      <c r="CS93" s="203"/>
      <c r="CT93" s="203"/>
      <c r="CU93" s="203"/>
      <c r="CV93" s="203"/>
      <c r="CW93" s="203"/>
      <c r="CX93" s="203"/>
      <c r="CY93" s="203"/>
      <c r="CZ93" s="203"/>
      <c r="DA93" s="203"/>
      <c r="DB93" s="203"/>
      <c r="DC93" s="203"/>
      <c r="DD93" s="203"/>
      <c r="DE93" s="203"/>
      <c r="DF93" s="203"/>
      <c r="DG93" s="203"/>
      <c r="DH93" s="30"/>
      <c r="DI93" s="394"/>
      <c r="DJ93" s="395"/>
      <c r="DK93" s="439"/>
      <c r="DL93" s="440"/>
      <c r="DM93" s="440"/>
      <c r="DN93" s="440"/>
      <c r="DO93" s="440"/>
      <c r="DP93" s="440"/>
      <c r="DQ93" s="440"/>
      <c r="DR93" s="440"/>
      <c r="DS93" s="440"/>
      <c r="DT93" s="440"/>
      <c r="DU93" s="440"/>
      <c r="DV93" s="440"/>
      <c r="DW93" s="440"/>
      <c r="DX93" s="440"/>
      <c r="DY93" s="440"/>
      <c r="DZ93" s="440"/>
      <c r="EA93" s="440"/>
      <c r="EB93" s="440"/>
      <c r="EC93" s="440"/>
      <c r="ED93" s="440"/>
      <c r="EE93" s="441"/>
      <c r="EF93" s="192"/>
      <c r="EG93" s="192"/>
      <c r="EH93" s="192"/>
      <c r="EI93" s="44"/>
      <c r="EZ93" s="17"/>
      <c r="FA93" s="17"/>
      <c r="FB93" s="40"/>
      <c r="FC93" s="17"/>
      <c r="FD93" s="17"/>
      <c r="FE93" s="17"/>
      <c r="FF93" s="17"/>
      <c r="FG93" s="17"/>
      <c r="FH93" s="17"/>
      <c r="FI93" s="17"/>
      <c r="FJ93" s="17"/>
      <c r="FK93" s="17"/>
      <c r="FL93" s="17"/>
      <c r="FM93" s="17"/>
      <c r="FN93" s="41"/>
      <c r="FO93" s="41"/>
      <c r="FP93" s="41"/>
      <c r="FQ93" s="41"/>
      <c r="FR93" s="41"/>
      <c r="FS93" s="41"/>
      <c r="FT93" s="41"/>
      <c r="FU93" s="41"/>
      <c r="FV93" s="41"/>
      <c r="FW93" s="41"/>
      <c r="FX93" s="41"/>
      <c r="FY93" s="40"/>
      <c r="FZ93" s="17"/>
      <c r="GA93" s="17"/>
      <c r="GB93" s="17"/>
      <c r="GC93" s="17"/>
      <c r="GD93" s="17"/>
      <c r="GE93" s="17"/>
      <c r="GF93" s="17"/>
    </row>
    <row r="94" spans="1:188" ht="13.5">
      <c r="A94" s="27"/>
      <c r="B94" s="45"/>
      <c r="C94" s="414"/>
      <c r="D94" s="415"/>
      <c r="E94" s="415"/>
      <c r="F94" s="415"/>
      <c r="G94" s="415"/>
      <c r="H94" s="415"/>
      <c r="I94" s="415"/>
      <c r="J94" s="416"/>
      <c r="K94" s="405"/>
      <c r="L94" s="406"/>
      <c r="M94" s="406"/>
      <c r="N94" s="406"/>
      <c r="O94" s="406"/>
      <c r="P94" s="406"/>
      <c r="Q94" s="406"/>
      <c r="R94" s="406"/>
      <c r="S94" s="406"/>
      <c r="T94" s="407"/>
      <c r="U94" s="226"/>
      <c r="V94" s="227"/>
      <c r="W94" s="228"/>
      <c r="X94" s="384"/>
      <c r="Y94" s="384"/>
      <c r="Z94" s="384"/>
      <c r="AA94" s="384"/>
      <c r="AB94" s="384"/>
      <c r="AC94" s="384"/>
      <c r="AD94" s="384"/>
      <c r="AE94" s="384"/>
      <c r="AF94" s="384"/>
      <c r="AG94" s="384"/>
      <c r="AH94" s="384"/>
      <c r="AI94" s="384"/>
      <c r="AJ94" s="235"/>
      <c r="AK94" s="236"/>
      <c r="AL94" s="236"/>
      <c r="AM94" s="237"/>
      <c r="AN94" s="409"/>
      <c r="AO94" s="210"/>
      <c r="AP94" s="210"/>
      <c r="AQ94" s="210"/>
      <c r="AR94" s="210"/>
      <c r="AS94" s="210"/>
      <c r="AT94" s="210"/>
      <c r="AU94" s="210"/>
      <c r="AV94" s="210"/>
      <c r="AW94" s="210"/>
      <c r="AX94" s="210"/>
      <c r="AY94" s="210"/>
      <c r="AZ94" s="210"/>
      <c r="BA94" s="210"/>
      <c r="BB94" s="210"/>
      <c r="BC94" s="210"/>
      <c r="BD94" s="210"/>
      <c r="BE94" s="210"/>
      <c r="BF94" s="210"/>
      <c r="BG94" s="226"/>
      <c r="BH94" s="227"/>
      <c r="BI94" s="228"/>
      <c r="BJ94" s="384"/>
      <c r="BK94" s="384"/>
      <c r="BL94" s="384"/>
      <c r="BM94" s="384"/>
      <c r="BN94" s="384"/>
      <c r="BO94" s="384"/>
      <c r="BP94" s="384"/>
      <c r="BQ94" s="384"/>
      <c r="BR94" s="384"/>
      <c r="BS94" s="384"/>
      <c r="BT94" s="384"/>
      <c r="BU94" s="471"/>
      <c r="BV94" s="427"/>
      <c r="BW94" s="221"/>
      <c r="BX94" s="221"/>
      <c r="BY94" s="221"/>
      <c r="BZ94" s="428"/>
      <c r="CB94" s="42"/>
      <c r="CC94" s="101"/>
      <c r="CD94" s="101"/>
      <c r="CE94" s="90"/>
      <c r="CF94" s="90"/>
      <c r="CG94" s="90"/>
      <c r="CH94" s="90"/>
      <c r="CI94" s="90"/>
      <c r="CJ94" s="90"/>
      <c r="CK94" s="90"/>
      <c r="CL94" s="90"/>
      <c r="CM94" s="90"/>
      <c r="CN94" s="90"/>
      <c r="CO94" s="203"/>
      <c r="CP94" s="203"/>
      <c r="CQ94" s="203"/>
      <c r="CR94" s="203"/>
      <c r="CS94" s="203"/>
      <c r="CT94" s="203"/>
      <c r="CU94" s="203"/>
      <c r="CV94" s="203"/>
      <c r="CW94" s="203"/>
      <c r="CX94" s="203"/>
      <c r="CY94" s="203"/>
      <c r="CZ94" s="203"/>
      <c r="DA94" s="203"/>
      <c r="DD94" s="31"/>
      <c r="DE94" s="199"/>
      <c r="DF94" s="199"/>
      <c r="DG94" s="199"/>
      <c r="DH94" s="199"/>
      <c r="DI94" s="199"/>
      <c r="DJ94" s="199"/>
      <c r="DK94" s="199"/>
      <c r="DL94" s="199"/>
      <c r="DM94" s="203"/>
      <c r="DN94" s="203"/>
      <c r="DO94" s="203"/>
      <c r="DP94" s="203"/>
      <c r="DQ94" s="203"/>
      <c r="DR94" s="203"/>
      <c r="DS94" s="203"/>
      <c r="DT94" s="203"/>
      <c r="DU94" s="203"/>
      <c r="DV94" s="203"/>
      <c r="DW94" s="203"/>
      <c r="DX94" s="203"/>
      <c r="DY94" s="203"/>
      <c r="DZ94" s="203"/>
      <c r="EA94" s="203"/>
      <c r="EB94" s="203"/>
      <c r="EC94" s="199"/>
      <c r="ED94" s="199"/>
      <c r="EE94" s="199"/>
      <c r="EF94" s="199"/>
      <c r="EG94" s="199"/>
      <c r="EH94" s="199"/>
      <c r="EI94" s="48"/>
      <c r="FF94" s="17"/>
      <c r="FG94" s="17"/>
      <c r="FH94" s="17"/>
      <c r="FI94" s="17"/>
      <c r="FJ94" s="17"/>
      <c r="FK94" s="17"/>
      <c r="FL94" s="17"/>
      <c r="FM94" s="17"/>
      <c r="FN94" s="41"/>
      <c r="FO94" s="41"/>
      <c r="FP94" s="41"/>
      <c r="FQ94" s="41"/>
      <c r="FR94" s="41"/>
      <c r="FS94" s="41"/>
      <c r="FT94" s="41"/>
      <c r="FU94" s="41"/>
      <c r="FV94" s="41"/>
      <c r="FW94" s="41"/>
      <c r="FX94" s="41"/>
      <c r="FY94" s="40"/>
      <c r="FZ94" s="41"/>
      <c r="GA94" s="17"/>
      <c r="GB94" s="17"/>
      <c r="GC94" s="17"/>
      <c r="GD94" s="17"/>
      <c r="GE94" s="41"/>
      <c r="GF94" s="17"/>
    </row>
    <row r="95" spans="1:188" ht="13.5">
      <c r="A95" s="25"/>
      <c r="B95" s="26"/>
      <c r="C95" s="417"/>
      <c r="D95" s="418"/>
      <c r="E95" s="418"/>
      <c r="F95" s="418"/>
      <c r="G95" s="418"/>
      <c r="H95" s="418"/>
      <c r="I95" s="418"/>
      <c r="J95" s="419"/>
      <c r="K95" s="405"/>
      <c r="L95" s="406"/>
      <c r="M95" s="406"/>
      <c r="N95" s="406"/>
      <c r="O95" s="406"/>
      <c r="P95" s="406"/>
      <c r="Q95" s="406"/>
      <c r="R95" s="406"/>
      <c r="S95" s="406"/>
      <c r="T95" s="407"/>
      <c r="U95" s="229"/>
      <c r="V95" s="230"/>
      <c r="W95" s="231"/>
      <c r="X95" s="384"/>
      <c r="Y95" s="384"/>
      <c r="Z95" s="384"/>
      <c r="AA95" s="384"/>
      <c r="AB95" s="384"/>
      <c r="AC95" s="384"/>
      <c r="AD95" s="384"/>
      <c r="AE95" s="384"/>
      <c r="AF95" s="384"/>
      <c r="AG95" s="384"/>
      <c r="AH95" s="384"/>
      <c r="AI95" s="384"/>
      <c r="AJ95" s="238"/>
      <c r="AK95" s="239"/>
      <c r="AL95" s="239"/>
      <c r="AM95" s="240"/>
      <c r="AN95" s="410"/>
      <c r="AO95" s="213"/>
      <c r="AP95" s="213"/>
      <c r="AQ95" s="213"/>
      <c r="AR95" s="213"/>
      <c r="AS95" s="213"/>
      <c r="AT95" s="213"/>
      <c r="AU95" s="213"/>
      <c r="AV95" s="213"/>
      <c r="AW95" s="213"/>
      <c r="AX95" s="213"/>
      <c r="AY95" s="213"/>
      <c r="AZ95" s="213"/>
      <c r="BA95" s="213"/>
      <c r="BB95" s="213"/>
      <c r="BC95" s="213"/>
      <c r="BD95" s="213"/>
      <c r="BE95" s="213"/>
      <c r="BF95" s="213"/>
      <c r="BG95" s="229"/>
      <c r="BH95" s="230"/>
      <c r="BI95" s="231"/>
      <c r="BJ95" s="384"/>
      <c r="BK95" s="384"/>
      <c r="BL95" s="384"/>
      <c r="BM95" s="384"/>
      <c r="BN95" s="384"/>
      <c r="BO95" s="384"/>
      <c r="BP95" s="384"/>
      <c r="BQ95" s="384"/>
      <c r="BR95" s="384"/>
      <c r="BS95" s="384"/>
      <c r="BT95" s="384"/>
      <c r="BU95" s="471"/>
      <c r="BV95" s="427"/>
      <c r="BW95" s="221"/>
      <c r="BX95" s="221"/>
      <c r="BY95" s="221"/>
      <c r="BZ95" s="428"/>
      <c r="CB95" s="42"/>
      <c r="CD95" s="49" t="s">
        <v>87</v>
      </c>
      <c r="CI95" s="28"/>
      <c r="CK95" s="30"/>
      <c r="CL95" s="30"/>
      <c r="CM95" s="30"/>
      <c r="CN95" s="30"/>
      <c r="CO95" s="30"/>
      <c r="CP95" s="30"/>
      <c r="CQ95" s="30"/>
      <c r="CR95" s="30"/>
      <c r="CS95" s="30"/>
      <c r="CT95" s="30"/>
      <c r="CU95" s="30"/>
      <c r="CV95" s="30"/>
      <c r="CW95" s="30"/>
      <c r="CX95" s="30"/>
      <c r="CY95" s="30"/>
      <c r="CZ95" s="30"/>
      <c r="DA95" s="30"/>
      <c r="DB95" s="30"/>
      <c r="DC95" s="49"/>
      <c r="DD95" s="49"/>
      <c r="DE95" s="49"/>
      <c r="DF95" s="49"/>
      <c r="DG95" s="49"/>
      <c r="DH95" s="49"/>
      <c r="DI95" s="49"/>
      <c r="DJ95" s="49"/>
      <c r="DK95" s="30"/>
      <c r="DL95" s="49"/>
      <c r="DM95" s="49"/>
      <c r="DN95" s="49"/>
      <c r="DO95" s="49"/>
      <c r="DP95" s="49"/>
      <c r="DQ95" s="49"/>
      <c r="DR95" s="49"/>
      <c r="DS95" s="49"/>
      <c r="DY95" s="20"/>
      <c r="EI95" s="47"/>
      <c r="EJ95" s="30"/>
      <c r="EK95" s="30"/>
      <c r="EL95" s="30"/>
      <c r="EZ95" s="17"/>
      <c r="FA95" s="17"/>
      <c r="FB95" s="40"/>
      <c r="FC95" s="17"/>
      <c r="FD95" s="17"/>
      <c r="FE95" s="17"/>
      <c r="FF95" s="17"/>
      <c r="FG95" s="17"/>
      <c r="FH95" s="17"/>
      <c r="FI95" s="17"/>
      <c r="FJ95" s="17"/>
      <c r="FK95" s="17"/>
      <c r="FL95" s="17"/>
      <c r="FM95" s="17"/>
      <c r="FN95" s="41"/>
      <c r="FO95" s="41"/>
      <c r="FP95" s="41"/>
      <c r="FQ95" s="41"/>
      <c r="FR95" s="41"/>
      <c r="FS95" s="41"/>
      <c r="FT95" s="41"/>
      <c r="FU95" s="41"/>
      <c r="FV95" s="41"/>
      <c r="FW95" s="41"/>
      <c r="FX95" s="41"/>
      <c r="FY95" s="40"/>
      <c r="FZ95" s="17"/>
      <c r="GA95" s="17"/>
      <c r="GB95" s="17"/>
      <c r="GC95" s="17"/>
      <c r="GD95" s="17"/>
      <c r="GE95" s="17"/>
      <c r="GF95" s="17"/>
    </row>
    <row r="96" spans="1:188" ht="17.25" customHeight="1" thickBot="1">
      <c r="AE96" s="14" t="s">
        <v>88</v>
      </c>
      <c r="AJ96" s="241" t="str">
        <f>AJ88</f>
        <v/>
      </c>
      <c r="AK96" s="242"/>
      <c r="AL96" s="242"/>
      <c r="AM96" s="243"/>
      <c r="BR96" s="14" t="s">
        <v>89</v>
      </c>
      <c r="BV96" s="241" t="str">
        <f>BV88</f>
        <v/>
      </c>
      <c r="BW96" s="242"/>
      <c r="BX96" s="242"/>
      <c r="BY96" s="242"/>
      <c r="BZ96" s="243"/>
      <c r="CB96" s="42"/>
      <c r="CC96" s="180"/>
      <c r="CD96" s="180"/>
      <c r="CE96" s="180"/>
      <c r="CF96" s="180"/>
      <c r="CG96" s="180"/>
      <c r="CH96" s="180" t="s">
        <v>90</v>
      </c>
      <c r="CI96" s="180"/>
      <c r="CJ96" s="180"/>
      <c r="CK96" s="180"/>
      <c r="CL96" s="180"/>
      <c r="CM96" s="180"/>
      <c r="CN96" s="180"/>
      <c r="CO96" s="180" t="s">
        <v>91</v>
      </c>
      <c r="CP96" s="180"/>
      <c r="CQ96" s="180"/>
      <c r="CR96" s="180"/>
      <c r="CS96" s="180"/>
      <c r="CT96" s="180"/>
      <c r="CU96" s="180"/>
      <c r="CV96" s="193" t="s">
        <v>92</v>
      </c>
      <c r="CW96" s="193"/>
      <c r="CX96" s="193"/>
      <c r="CY96" s="193"/>
      <c r="CZ96" s="193"/>
      <c r="DA96" s="193"/>
      <c r="DB96" s="193"/>
      <c r="DC96" s="112"/>
      <c r="DD96" s="112"/>
      <c r="DE96" s="112"/>
      <c r="DF96" s="112"/>
      <c r="DG96" s="112"/>
      <c r="DH96" s="112"/>
      <c r="DI96" s="30"/>
      <c r="DJ96" s="30"/>
      <c r="DK96" s="30"/>
      <c r="DL96" s="30"/>
      <c r="DM96" s="30"/>
      <c r="DN96" s="30"/>
      <c r="DO96" s="30"/>
      <c r="DP96" s="30"/>
      <c r="DQ96" s="30"/>
      <c r="DR96" s="30"/>
      <c r="DS96" s="113"/>
      <c r="DT96" s="113"/>
      <c r="DU96" s="113"/>
      <c r="DV96" s="113"/>
      <c r="DW96" s="113"/>
      <c r="DY96" s="30"/>
      <c r="DZ96" s="30"/>
      <c r="EA96" s="30"/>
      <c r="EB96" s="30"/>
      <c r="EC96" s="30"/>
      <c r="ED96" s="30"/>
      <c r="EE96" s="30"/>
      <c r="EF96" s="30"/>
      <c r="EG96" s="30"/>
      <c r="EH96" s="30"/>
      <c r="EI96" s="47"/>
      <c r="EJ96" s="30"/>
      <c r="EK96" s="30"/>
      <c r="EL96" s="30"/>
      <c r="FX96" s="41"/>
      <c r="FY96" s="40"/>
      <c r="FZ96" s="41"/>
      <c r="GA96" s="17"/>
      <c r="GB96" s="17"/>
      <c r="GC96" s="17"/>
      <c r="GD96" s="17"/>
      <c r="GE96" s="41"/>
      <c r="GF96" s="17"/>
    </row>
    <row r="97" spans="1:188" ht="14.25" customHeight="1" thickTop="1">
      <c r="A97" s="14" t="s">
        <v>93</v>
      </c>
      <c r="CB97" s="42"/>
      <c r="CC97" s="180" t="s">
        <v>35</v>
      </c>
      <c r="CD97" s="180"/>
      <c r="CE97" s="180"/>
      <c r="CF97" s="180"/>
      <c r="CG97" s="180"/>
      <c r="CH97" s="181" t="str">
        <f>IF(CQ84="","",CQ84)</f>
        <v/>
      </c>
      <c r="CI97" s="181"/>
      <c r="CJ97" s="181"/>
      <c r="CK97" s="181"/>
      <c r="CL97" s="181"/>
      <c r="CM97" s="181"/>
      <c r="CN97" s="181"/>
      <c r="CO97" s="181" t="str">
        <f>IF(AJ96="","",AJ96)</f>
        <v/>
      </c>
      <c r="CP97" s="181"/>
      <c r="CQ97" s="181"/>
      <c r="CR97" s="181"/>
      <c r="CS97" s="181"/>
      <c r="CT97" s="181"/>
      <c r="CU97" s="181"/>
      <c r="CV97" s="182" t="str">
        <f>IFERROR(CH97+CO97,"")</f>
        <v/>
      </c>
      <c r="CW97" s="183"/>
      <c r="CX97" s="183"/>
      <c r="CY97" s="183"/>
      <c r="CZ97" s="183"/>
      <c r="DA97" s="183"/>
      <c r="DB97" s="184"/>
      <c r="DC97" s="112"/>
      <c r="DD97" s="112"/>
      <c r="DE97" s="112"/>
      <c r="DF97" s="112"/>
      <c r="DG97" s="112"/>
      <c r="DH97" s="112"/>
      <c r="DS97" s="113"/>
      <c r="DT97" s="113"/>
      <c r="DU97" s="113"/>
      <c r="DV97" s="113"/>
      <c r="DW97" s="113"/>
      <c r="DY97" s="163"/>
      <c r="DZ97" s="163"/>
      <c r="EA97" s="163"/>
      <c r="EB97" s="163"/>
      <c r="EC97" s="163"/>
      <c r="ED97" s="163"/>
      <c r="EE97" s="163"/>
      <c r="EF97" s="163"/>
      <c r="EG97" s="163"/>
      <c r="EH97" s="163"/>
      <c r="EI97" s="47"/>
      <c r="EJ97" s="30"/>
      <c r="EK97" s="30"/>
      <c r="EL97" s="30"/>
      <c r="FX97" s="41"/>
      <c r="FY97" s="40"/>
      <c r="FZ97" s="17"/>
      <c r="GA97" s="17"/>
      <c r="GB97" s="17"/>
      <c r="GC97" s="17"/>
      <c r="GD97" s="17"/>
      <c r="GE97" s="17"/>
      <c r="GF97" s="17"/>
    </row>
    <row r="98" spans="1:188" ht="14.25" customHeight="1">
      <c r="A98" s="192" t="s">
        <v>94</v>
      </c>
      <c r="B98" s="192"/>
      <c r="C98" s="192"/>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c r="AB98" s="192"/>
      <c r="AC98" s="192"/>
      <c r="AD98" s="192"/>
      <c r="AE98" s="192" t="s">
        <v>95</v>
      </c>
      <c r="AF98" s="192"/>
      <c r="AG98" s="192"/>
      <c r="AH98" s="192"/>
      <c r="AI98" s="192"/>
      <c r="AJ98" s="192"/>
      <c r="AK98" s="192"/>
      <c r="AL98" s="192"/>
      <c r="AM98" s="192"/>
      <c r="AN98" s="192"/>
      <c r="AO98" s="192"/>
      <c r="AP98" s="192"/>
      <c r="AQ98" s="192"/>
      <c r="AR98" s="192"/>
      <c r="AS98" s="192"/>
      <c r="AT98" s="192"/>
      <c r="AU98" s="192"/>
      <c r="AV98" s="192"/>
      <c r="AW98" s="192"/>
      <c r="AX98" s="192"/>
      <c r="AY98" s="192"/>
      <c r="AZ98" s="192"/>
      <c r="BA98" s="192"/>
      <c r="BB98" s="192"/>
      <c r="BC98" s="192"/>
      <c r="BD98" s="192"/>
      <c r="BE98" s="192"/>
      <c r="BF98" s="192"/>
      <c r="BG98" s="192"/>
      <c r="BH98" s="192"/>
      <c r="BI98" s="192"/>
      <c r="BJ98" s="192"/>
      <c r="BK98" s="192"/>
      <c r="BL98" s="192"/>
      <c r="BM98" s="192"/>
      <c r="BN98" s="192"/>
      <c r="BO98" s="192"/>
      <c r="BP98" s="192"/>
      <c r="BQ98" s="192"/>
      <c r="BR98" s="192"/>
      <c r="BS98" s="192"/>
      <c r="BT98" s="192"/>
      <c r="BU98" s="192"/>
      <c r="BV98" s="192"/>
      <c r="BW98" s="192"/>
      <c r="BX98" s="192"/>
      <c r="BY98" s="192"/>
      <c r="BZ98" s="192"/>
      <c r="CA98" s="69"/>
      <c r="CB98" s="72"/>
      <c r="CC98" s="180"/>
      <c r="CD98" s="180"/>
      <c r="CE98" s="180"/>
      <c r="CF98" s="180"/>
      <c r="CG98" s="180"/>
      <c r="CH98" s="181"/>
      <c r="CI98" s="181"/>
      <c r="CJ98" s="181"/>
      <c r="CK98" s="181"/>
      <c r="CL98" s="181"/>
      <c r="CM98" s="181"/>
      <c r="CN98" s="181"/>
      <c r="CO98" s="181"/>
      <c r="CP98" s="181"/>
      <c r="CQ98" s="181"/>
      <c r="CR98" s="181"/>
      <c r="CS98" s="181"/>
      <c r="CT98" s="181"/>
      <c r="CU98" s="181"/>
      <c r="CV98" s="185"/>
      <c r="CW98" s="186"/>
      <c r="CX98" s="186"/>
      <c r="CY98" s="186"/>
      <c r="CZ98" s="186"/>
      <c r="DA98" s="186"/>
      <c r="DB98" s="187"/>
      <c r="DC98" s="117"/>
      <c r="DD98" s="116"/>
      <c r="DE98" s="116"/>
      <c r="DF98" s="116"/>
      <c r="DG98" s="116"/>
      <c r="DH98" s="116"/>
      <c r="DI98" s="73"/>
      <c r="DS98" s="118"/>
      <c r="DT98" s="118"/>
      <c r="DU98" s="118"/>
      <c r="DV98" s="118"/>
      <c r="DW98" s="118"/>
      <c r="DY98" s="164"/>
      <c r="DZ98" s="164"/>
      <c r="EA98" s="164"/>
      <c r="EB98" s="164"/>
      <c r="EC98" s="164"/>
      <c r="ED98" s="164"/>
      <c r="EE98" s="164"/>
      <c r="EF98" s="164"/>
      <c r="EG98" s="163"/>
      <c r="EH98" s="163"/>
      <c r="EI98" s="47"/>
      <c r="EJ98" s="30"/>
      <c r="EK98" s="30"/>
      <c r="EL98" s="30"/>
    </row>
    <row r="99" spans="1:188" ht="14.25" customHeight="1">
      <c r="A99" s="389" t="s">
        <v>96</v>
      </c>
      <c r="B99" s="390"/>
      <c r="C99" s="390"/>
      <c r="D99" s="390"/>
      <c r="E99" s="390"/>
      <c r="F99" s="390"/>
      <c r="G99" s="390"/>
      <c r="H99" s="390"/>
      <c r="I99" s="390"/>
      <c r="J99" s="390"/>
      <c r="K99" s="390"/>
      <c r="L99" s="390"/>
      <c r="M99" s="390"/>
      <c r="N99" s="390"/>
      <c r="O99" s="390"/>
      <c r="P99" s="390"/>
      <c r="Q99" s="391"/>
      <c r="R99" s="458" t="s">
        <v>97</v>
      </c>
      <c r="S99" s="459"/>
      <c r="T99" s="459"/>
      <c r="U99" s="459"/>
      <c r="V99" s="459"/>
      <c r="W99" s="459"/>
      <c r="X99" s="459"/>
      <c r="Y99" s="459"/>
      <c r="Z99" s="459"/>
      <c r="AA99" s="459"/>
      <c r="AB99" s="459"/>
      <c r="AC99" s="459"/>
      <c r="AD99" s="460"/>
      <c r="AE99" s="389" t="s">
        <v>96</v>
      </c>
      <c r="AF99" s="390"/>
      <c r="AG99" s="390"/>
      <c r="AH99" s="390"/>
      <c r="AI99" s="390"/>
      <c r="AJ99" s="390"/>
      <c r="AK99" s="390"/>
      <c r="AL99" s="390"/>
      <c r="AM99" s="390"/>
      <c r="AN99" s="390"/>
      <c r="AO99" s="390"/>
      <c r="AP99" s="390"/>
      <c r="AQ99" s="390"/>
      <c r="AR99" s="390"/>
      <c r="AS99" s="390"/>
      <c r="AT99" s="390"/>
      <c r="AU99" s="390"/>
      <c r="AV99" s="390"/>
      <c r="AW99" s="390"/>
      <c r="AX99" s="390"/>
      <c r="AY99" s="390"/>
      <c r="AZ99" s="390"/>
      <c r="BA99" s="391"/>
      <c r="BB99" s="458" t="s">
        <v>97</v>
      </c>
      <c r="BC99" s="459"/>
      <c r="BD99" s="459"/>
      <c r="BE99" s="459"/>
      <c r="BF99" s="459"/>
      <c r="BG99" s="459"/>
      <c r="BH99" s="459"/>
      <c r="BI99" s="459"/>
      <c r="BJ99" s="459"/>
      <c r="BK99" s="459"/>
      <c r="BL99" s="459"/>
      <c r="BM99" s="459"/>
      <c r="BN99" s="459"/>
      <c r="BO99" s="459"/>
      <c r="BP99" s="459"/>
      <c r="BQ99" s="459"/>
      <c r="BR99" s="459"/>
      <c r="BS99" s="459"/>
      <c r="BT99" s="459"/>
      <c r="BU99" s="459"/>
      <c r="BV99" s="459"/>
      <c r="BW99" s="459"/>
      <c r="BX99" s="459"/>
      <c r="BY99" s="459"/>
      <c r="BZ99" s="460"/>
      <c r="CA99" s="69"/>
      <c r="CB99" s="72"/>
      <c r="CC99" s="180"/>
      <c r="CD99" s="180"/>
      <c r="CE99" s="180"/>
      <c r="CF99" s="180"/>
      <c r="CG99" s="180"/>
      <c r="CH99" s="181"/>
      <c r="CI99" s="181"/>
      <c r="CJ99" s="181"/>
      <c r="CK99" s="181"/>
      <c r="CL99" s="181"/>
      <c r="CM99" s="181"/>
      <c r="CN99" s="181"/>
      <c r="CO99" s="181"/>
      <c r="CP99" s="181"/>
      <c r="CQ99" s="181"/>
      <c r="CR99" s="181"/>
      <c r="CS99" s="181"/>
      <c r="CT99" s="181"/>
      <c r="CU99" s="181"/>
      <c r="CV99" s="185"/>
      <c r="CW99" s="186"/>
      <c r="CX99" s="186"/>
      <c r="CY99" s="186"/>
      <c r="CZ99" s="186"/>
      <c r="DA99" s="186"/>
      <c r="DB99" s="187"/>
      <c r="DC99" s="117"/>
      <c r="DD99" s="116"/>
      <c r="DE99" s="116"/>
      <c r="DF99" s="116"/>
      <c r="DG99" s="116"/>
      <c r="DH99" s="116"/>
      <c r="DI99" s="73"/>
      <c r="DS99" s="119"/>
      <c r="DT99" s="119"/>
      <c r="DU99" s="119"/>
      <c r="DV99" s="119"/>
      <c r="DW99" s="119"/>
      <c r="DX99" s="30"/>
      <c r="DY99" s="164"/>
      <c r="DZ99" s="164"/>
      <c r="EA99" s="164"/>
      <c r="EB99" s="164"/>
      <c r="EC99" s="164"/>
      <c r="ED99" s="164"/>
      <c r="EE99" s="164"/>
      <c r="EF99" s="164"/>
      <c r="EG99" s="163"/>
      <c r="EH99" s="163"/>
      <c r="EI99" s="47"/>
    </row>
    <row r="100" spans="1:188" ht="15.75" customHeight="1">
      <c r="A100" s="286"/>
      <c r="B100" s="287"/>
      <c r="C100" s="287"/>
      <c r="D100" s="287"/>
      <c r="E100" s="287"/>
      <c r="F100" s="287"/>
      <c r="G100" s="287"/>
      <c r="H100" s="287"/>
      <c r="I100" s="287"/>
      <c r="J100" s="287"/>
      <c r="K100" s="287"/>
      <c r="L100" s="287"/>
      <c r="M100" s="287"/>
      <c r="N100" s="287"/>
      <c r="O100" s="287"/>
      <c r="P100" s="287"/>
      <c r="Q100" s="288"/>
      <c r="R100" s="286"/>
      <c r="S100" s="287"/>
      <c r="T100" s="287"/>
      <c r="U100" s="287"/>
      <c r="V100" s="287"/>
      <c r="W100" s="287"/>
      <c r="X100" s="287"/>
      <c r="Y100" s="287"/>
      <c r="Z100" s="287"/>
      <c r="AA100" s="287"/>
      <c r="AB100" s="287"/>
      <c r="AC100" s="287"/>
      <c r="AD100" s="288"/>
      <c r="AE100" s="461"/>
      <c r="AF100" s="462"/>
      <c r="AG100" s="462"/>
      <c r="AH100" s="462"/>
      <c r="AI100" s="462"/>
      <c r="AJ100" s="462"/>
      <c r="AK100" s="462"/>
      <c r="AL100" s="462"/>
      <c r="AM100" s="462"/>
      <c r="AN100" s="462"/>
      <c r="AO100" s="462"/>
      <c r="AP100" s="462"/>
      <c r="AQ100" s="462"/>
      <c r="AR100" s="462"/>
      <c r="AS100" s="462"/>
      <c r="AT100" s="462"/>
      <c r="AU100" s="462"/>
      <c r="AV100" s="462"/>
      <c r="AW100" s="462"/>
      <c r="AX100" s="462"/>
      <c r="AY100" s="462"/>
      <c r="AZ100" s="462"/>
      <c r="BA100" s="463"/>
      <c r="BB100" s="461"/>
      <c r="BC100" s="462"/>
      <c r="BD100" s="462"/>
      <c r="BE100" s="462"/>
      <c r="BF100" s="462"/>
      <c r="BG100" s="462"/>
      <c r="BH100" s="462"/>
      <c r="BI100" s="462"/>
      <c r="BJ100" s="462"/>
      <c r="BK100" s="462"/>
      <c r="BL100" s="462"/>
      <c r="BM100" s="462"/>
      <c r="BN100" s="462"/>
      <c r="BO100" s="462"/>
      <c r="BP100" s="462"/>
      <c r="BQ100" s="462"/>
      <c r="BR100" s="462"/>
      <c r="BS100" s="462"/>
      <c r="BT100" s="462"/>
      <c r="BU100" s="462"/>
      <c r="BV100" s="462"/>
      <c r="BW100" s="462"/>
      <c r="BX100" s="462"/>
      <c r="BY100" s="462"/>
      <c r="BZ100" s="463"/>
      <c r="CA100" s="70"/>
      <c r="CB100" s="74"/>
      <c r="CC100" s="180"/>
      <c r="CD100" s="180"/>
      <c r="CE100" s="180"/>
      <c r="CF100" s="180"/>
      <c r="CG100" s="180"/>
      <c r="CH100" s="181"/>
      <c r="CI100" s="181"/>
      <c r="CJ100" s="181"/>
      <c r="CK100" s="181"/>
      <c r="CL100" s="181"/>
      <c r="CM100" s="181"/>
      <c r="CN100" s="181"/>
      <c r="CO100" s="181"/>
      <c r="CP100" s="181"/>
      <c r="CQ100" s="181"/>
      <c r="CR100" s="181"/>
      <c r="CS100" s="181"/>
      <c r="CT100" s="181"/>
      <c r="CU100" s="181"/>
      <c r="CV100" s="188"/>
      <c r="CW100" s="189"/>
      <c r="CX100" s="189"/>
      <c r="CY100" s="189"/>
      <c r="CZ100" s="189"/>
      <c r="DA100" s="189"/>
      <c r="DB100" s="190"/>
      <c r="DC100" s="93"/>
      <c r="DD100" s="93"/>
      <c r="DE100" s="93"/>
      <c r="DF100" s="93"/>
      <c r="DG100" s="93"/>
      <c r="DH100" s="93"/>
      <c r="DS100" s="119"/>
      <c r="DT100" s="119"/>
      <c r="DU100" s="119"/>
      <c r="DV100" s="119"/>
      <c r="DW100" s="119"/>
      <c r="DY100" s="163"/>
      <c r="DZ100" s="163"/>
      <c r="EA100" s="163"/>
      <c r="EB100" s="163"/>
      <c r="EC100" s="163"/>
      <c r="ED100" s="163"/>
      <c r="EE100" s="163"/>
      <c r="EF100" s="163"/>
      <c r="EG100" s="163"/>
      <c r="EH100" s="163"/>
      <c r="EI100" s="47"/>
      <c r="EO100" s="73"/>
    </row>
    <row r="101" spans="1:188" ht="15.75" customHeight="1">
      <c r="A101" s="289"/>
      <c r="B101" s="290"/>
      <c r="C101" s="290"/>
      <c r="D101" s="290"/>
      <c r="E101" s="290"/>
      <c r="F101" s="290"/>
      <c r="G101" s="290"/>
      <c r="H101" s="290"/>
      <c r="I101" s="290"/>
      <c r="J101" s="290"/>
      <c r="K101" s="290"/>
      <c r="L101" s="290"/>
      <c r="M101" s="290"/>
      <c r="N101" s="290"/>
      <c r="O101" s="290"/>
      <c r="P101" s="290"/>
      <c r="Q101" s="291"/>
      <c r="R101" s="289"/>
      <c r="S101" s="290"/>
      <c r="T101" s="290"/>
      <c r="U101" s="290"/>
      <c r="V101" s="290"/>
      <c r="W101" s="290"/>
      <c r="X101" s="290"/>
      <c r="Y101" s="290"/>
      <c r="Z101" s="290"/>
      <c r="AA101" s="290"/>
      <c r="AB101" s="290"/>
      <c r="AC101" s="290"/>
      <c r="AD101" s="291"/>
      <c r="AE101" s="464"/>
      <c r="AF101" s="465"/>
      <c r="AG101" s="465"/>
      <c r="AH101" s="465"/>
      <c r="AI101" s="465"/>
      <c r="AJ101" s="465"/>
      <c r="AK101" s="465"/>
      <c r="AL101" s="465"/>
      <c r="AM101" s="465"/>
      <c r="AN101" s="465"/>
      <c r="AO101" s="465"/>
      <c r="AP101" s="465"/>
      <c r="AQ101" s="465"/>
      <c r="AR101" s="465"/>
      <c r="AS101" s="465"/>
      <c r="AT101" s="465"/>
      <c r="AU101" s="465"/>
      <c r="AV101" s="465"/>
      <c r="AW101" s="465"/>
      <c r="AX101" s="465"/>
      <c r="AY101" s="465"/>
      <c r="AZ101" s="465"/>
      <c r="BA101" s="466"/>
      <c r="BB101" s="464"/>
      <c r="BC101" s="465"/>
      <c r="BD101" s="465"/>
      <c r="BE101" s="465"/>
      <c r="BF101" s="465"/>
      <c r="BG101" s="465"/>
      <c r="BH101" s="465"/>
      <c r="BI101" s="465"/>
      <c r="BJ101" s="465"/>
      <c r="BK101" s="465"/>
      <c r="BL101" s="465"/>
      <c r="BM101" s="465"/>
      <c r="BN101" s="465"/>
      <c r="BO101" s="465"/>
      <c r="BP101" s="465"/>
      <c r="BQ101" s="465"/>
      <c r="BR101" s="465"/>
      <c r="BS101" s="465"/>
      <c r="BT101" s="465"/>
      <c r="BU101" s="465"/>
      <c r="BV101" s="465"/>
      <c r="BW101" s="465"/>
      <c r="BX101" s="465"/>
      <c r="BY101" s="465"/>
      <c r="BZ101" s="466"/>
      <c r="CA101" s="70"/>
      <c r="CB101" s="74"/>
      <c r="CC101" s="180" t="s">
        <v>39</v>
      </c>
      <c r="CD101" s="180"/>
      <c r="CE101" s="180"/>
      <c r="CF101" s="180"/>
      <c r="CG101" s="180"/>
      <c r="CH101" s="181" t="str">
        <f>IF(EF84="","",EF84)</f>
        <v/>
      </c>
      <c r="CI101" s="181"/>
      <c r="CJ101" s="181"/>
      <c r="CK101" s="181"/>
      <c r="CL101" s="181"/>
      <c r="CM101" s="181"/>
      <c r="CN101" s="181"/>
      <c r="CO101" s="181" t="str">
        <f>IF(BV96="","",BV96)</f>
        <v/>
      </c>
      <c r="CP101" s="181"/>
      <c r="CQ101" s="181"/>
      <c r="CR101" s="181"/>
      <c r="CS101" s="181"/>
      <c r="CT101" s="181"/>
      <c r="CU101" s="181"/>
      <c r="CV101" s="182" t="str">
        <f>IFERROR(CH101+CO101,"")</f>
        <v/>
      </c>
      <c r="CW101" s="183"/>
      <c r="CX101" s="183"/>
      <c r="CY101" s="183"/>
      <c r="CZ101" s="183"/>
      <c r="DA101" s="183"/>
      <c r="DB101" s="184"/>
      <c r="DC101" s="93"/>
      <c r="DD101" s="93"/>
      <c r="DE101" s="93"/>
      <c r="DF101" s="93"/>
      <c r="DG101" s="93"/>
      <c r="DH101" s="93"/>
      <c r="DS101" s="119"/>
      <c r="DT101" s="119"/>
      <c r="DU101" s="119"/>
      <c r="DV101" s="119"/>
      <c r="DW101" s="119"/>
      <c r="DY101" s="163"/>
      <c r="DZ101" s="163"/>
      <c r="EA101" s="163"/>
      <c r="EB101" s="163"/>
      <c r="EC101" s="163"/>
      <c r="ED101" s="163"/>
      <c r="EE101" s="163"/>
      <c r="EF101" s="163"/>
      <c r="EG101" s="163"/>
      <c r="EH101" s="163"/>
      <c r="EI101" s="47"/>
    </row>
    <row r="102" spans="1:188" ht="14.25" customHeight="1">
      <c r="A102" s="289"/>
      <c r="B102" s="290"/>
      <c r="C102" s="290"/>
      <c r="D102" s="290"/>
      <c r="E102" s="290"/>
      <c r="F102" s="290"/>
      <c r="G102" s="290"/>
      <c r="H102" s="290"/>
      <c r="I102" s="290"/>
      <c r="J102" s="290"/>
      <c r="K102" s="290"/>
      <c r="L102" s="290"/>
      <c r="M102" s="290"/>
      <c r="N102" s="290"/>
      <c r="O102" s="290"/>
      <c r="P102" s="290"/>
      <c r="Q102" s="291"/>
      <c r="R102" s="289"/>
      <c r="S102" s="290"/>
      <c r="T102" s="290"/>
      <c r="U102" s="290"/>
      <c r="V102" s="290"/>
      <c r="W102" s="290"/>
      <c r="X102" s="290"/>
      <c r="Y102" s="290"/>
      <c r="Z102" s="290"/>
      <c r="AA102" s="290"/>
      <c r="AB102" s="290"/>
      <c r="AC102" s="290"/>
      <c r="AD102" s="291"/>
      <c r="AE102" s="464"/>
      <c r="AF102" s="465"/>
      <c r="AG102" s="465"/>
      <c r="AH102" s="465"/>
      <c r="AI102" s="465"/>
      <c r="AJ102" s="465"/>
      <c r="AK102" s="465"/>
      <c r="AL102" s="465"/>
      <c r="AM102" s="465"/>
      <c r="AN102" s="465"/>
      <c r="AO102" s="465"/>
      <c r="AP102" s="465"/>
      <c r="AQ102" s="465"/>
      <c r="AR102" s="465"/>
      <c r="AS102" s="465"/>
      <c r="AT102" s="465"/>
      <c r="AU102" s="465"/>
      <c r="AV102" s="465"/>
      <c r="AW102" s="465"/>
      <c r="AX102" s="465"/>
      <c r="AY102" s="465"/>
      <c r="AZ102" s="465"/>
      <c r="BA102" s="466"/>
      <c r="BB102" s="464"/>
      <c r="BC102" s="465"/>
      <c r="BD102" s="465"/>
      <c r="BE102" s="465"/>
      <c r="BF102" s="465"/>
      <c r="BG102" s="465"/>
      <c r="BH102" s="465"/>
      <c r="BI102" s="465"/>
      <c r="BJ102" s="465"/>
      <c r="BK102" s="465"/>
      <c r="BL102" s="465"/>
      <c r="BM102" s="465"/>
      <c r="BN102" s="465"/>
      <c r="BO102" s="465"/>
      <c r="BP102" s="465"/>
      <c r="BQ102" s="465"/>
      <c r="BR102" s="465"/>
      <c r="BS102" s="465"/>
      <c r="BT102" s="465"/>
      <c r="BU102" s="465"/>
      <c r="BV102" s="465"/>
      <c r="BW102" s="465"/>
      <c r="BX102" s="465"/>
      <c r="BY102" s="465"/>
      <c r="BZ102" s="466"/>
      <c r="CA102" s="70"/>
      <c r="CB102" s="74"/>
      <c r="CC102" s="180"/>
      <c r="CD102" s="180"/>
      <c r="CE102" s="180"/>
      <c r="CF102" s="180"/>
      <c r="CG102" s="180"/>
      <c r="CH102" s="181"/>
      <c r="CI102" s="181"/>
      <c r="CJ102" s="181"/>
      <c r="CK102" s="181"/>
      <c r="CL102" s="181"/>
      <c r="CM102" s="181"/>
      <c r="CN102" s="181"/>
      <c r="CO102" s="181"/>
      <c r="CP102" s="181"/>
      <c r="CQ102" s="181"/>
      <c r="CR102" s="181"/>
      <c r="CS102" s="181"/>
      <c r="CT102" s="181"/>
      <c r="CU102" s="181"/>
      <c r="CV102" s="185"/>
      <c r="CW102" s="186"/>
      <c r="CX102" s="186"/>
      <c r="CY102" s="186"/>
      <c r="CZ102" s="186"/>
      <c r="DA102" s="186"/>
      <c r="DB102" s="187"/>
      <c r="DC102" s="117"/>
      <c r="DD102" s="116"/>
      <c r="DE102" s="116"/>
      <c r="DF102" s="116"/>
      <c r="DG102" s="116"/>
      <c r="DH102" s="116"/>
      <c r="DI102" s="116"/>
      <c r="DJ102" s="113"/>
      <c r="DK102" s="113"/>
      <c r="DL102" s="113"/>
      <c r="DM102" s="113"/>
      <c r="DN102" s="113"/>
      <c r="DO102" s="113"/>
      <c r="DP102" s="88"/>
      <c r="DQ102" s="88"/>
      <c r="DR102" s="118"/>
      <c r="DS102" s="118"/>
      <c r="DT102" s="118"/>
      <c r="DU102" s="118"/>
      <c r="DV102" s="118"/>
      <c r="DW102" s="118"/>
      <c r="DY102" s="162"/>
      <c r="DZ102" s="165"/>
      <c r="EA102" s="165"/>
      <c r="EB102" s="165"/>
      <c r="EC102" s="165"/>
      <c r="ED102" s="165"/>
      <c r="EE102" s="165"/>
      <c r="EF102" s="165"/>
      <c r="EG102" s="162"/>
      <c r="EH102" s="163"/>
      <c r="EI102" s="47"/>
    </row>
    <row r="103" spans="1:188" ht="14.25" customHeight="1">
      <c r="A103" s="289"/>
      <c r="B103" s="290"/>
      <c r="C103" s="290"/>
      <c r="D103" s="290"/>
      <c r="E103" s="290"/>
      <c r="F103" s="290"/>
      <c r="G103" s="290"/>
      <c r="H103" s="290"/>
      <c r="I103" s="290"/>
      <c r="J103" s="290"/>
      <c r="K103" s="290"/>
      <c r="L103" s="290"/>
      <c r="M103" s="290"/>
      <c r="N103" s="290"/>
      <c r="O103" s="290"/>
      <c r="P103" s="290"/>
      <c r="Q103" s="291"/>
      <c r="R103" s="289"/>
      <c r="S103" s="290"/>
      <c r="T103" s="290"/>
      <c r="U103" s="290"/>
      <c r="V103" s="290"/>
      <c r="W103" s="290"/>
      <c r="X103" s="290"/>
      <c r="Y103" s="290"/>
      <c r="Z103" s="290"/>
      <c r="AA103" s="290"/>
      <c r="AB103" s="290"/>
      <c r="AC103" s="290"/>
      <c r="AD103" s="291"/>
      <c r="AE103" s="464"/>
      <c r="AF103" s="465"/>
      <c r="AG103" s="465"/>
      <c r="AH103" s="465"/>
      <c r="AI103" s="465"/>
      <c r="AJ103" s="465"/>
      <c r="AK103" s="465"/>
      <c r="AL103" s="465"/>
      <c r="AM103" s="465"/>
      <c r="AN103" s="465"/>
      <c r="AO103" s="465"/>
      <c r="AP103" s="465"/>
      <c r="AQ103" s="465"/>
      <c r="AR103" s="465"/>
      <c r="AS103" s="465"/>
      <c r="AT103" s="465"/>
      <c r="AU103" s="465"/>
      <c r="AV103" s="465"/>
      <c r="AW103" s="465"/>
      <c r="AX103" s="465"/>
      <c r="AY103" s="465"/>
      <c r="AZ103" s="465"/>
      <c r="BA103" s="466"/>
      <c r="BB103" s="464"/>
      <c r="BC103" s="465"/>
      <c r="BD103" s="465"/>
      <c r="BE103" s="465"/>
      <c r="BF103" s="465"/>
      <c r="BG103" s="465"/>
      <c r="BH103" s="465"/>
      <c r="BI103" s="465"/>
      <c r="BJ103" s="465"/>
      <c r="BK103" s="465"/>
      <c r="BL103" s="465"/>
      <c r="BM103" s="465"/>
      <c r="BN103" s="465"/>
      <c r="BO103" s="465"/>
      <c r="BP103" s="465"/>
      <c r="BQ103" s="465"/>
      <c r="BR103" s="465"/>
      <c r="BS103" s="465"/>
      <c r="BT103" s="465"/>
      <c r="BU103" s="465"/>
      <c r="BV103" s="465"/>
      <c r="BW103" s="465"/>
      <c r="BX103" s="465"/>
      <c r="BY103" s="465"/>
      <c r="BZ103" s="466"/>
      <c r="CA103" s="70"/>
      <c r="CB103" s="74"/>
      <c r="CC103" s="180"/>
      <c r="CD103" s="180"/>
      <c r="CE103" s="180"/>
      <c r="CF103" s="180"/>
      <c r="CG103" s="180"/>
      <c r="CH103" s="181"/>
      <c r="CI103" s="181"/>
      <c r="CJ103" s="181"/>
      <c r="CK103" s="181"/>
      <c r="CL103" s="181"/>
      <c r="CM103" s="181"/>
      <c r="CN103" s="181"/>
      <c r="CO103" s="181"/>
      <c r="CP103" s="181"/>
      <c r="CQ103" s="181"/>
      <c r="CR103" s="181"/>
      <c r="CS103" s="181"/>
      <c r="CT103" s="181"/>
      <c r="CU103" s="181"/>
      <c r="CV103" s="185"/>
      <c r="CW103" s="186"/>
      <c r="CX103" s="186"/>
      <c r="CY103" s="186"/>
      <c r="CZ103" s="186"/>
      <c r="DA103" s="186"/>
      <c r="DB103" s="187"/>
      <c r="DC103" s="117"/>
      <c r="DD103" s="116"/>
      <c r="DE103" s="116"/>
      <c r="DF103" s="116"/>
      <c r="DG103" s="116"/>
      <c r="DH103" s="116"/>
      <c r="DI103" s="116"/>
      <c r="DJ103" s="113"/>
      <c r="DK103" s="113"/>
      <c r="DL103" s="113"/>
      <c r="DM103" s="113"/>
      <c r="DN103" s="113"/>
      <c r="DO103" s="113"/>
      <c r="DP103" s="88"/>
      <c r="DQ103" s="88"/>
      <c r="DR103" s="119"/>
      <c r="DS103" s="119"/>
      <c r="DT103" s="119"/>
      <c r="DU103" s="119"/>
      <c r="DV103" s="119"/>
      <c r="DW103" s="119"/>
      <c r="DY103" s="165"/>
      <c r="DZ103" s="165"/>
      <c r="EA103" s="165"/>
      <c r="EB103" s="165"/>
      <c r="EC103" s="165"/>
      <c r="ED103" s="165"/>
      <c r="EE103" s="165"/>
      <c r="EF103" s="165"/>
      <c r="EG103" s="163"/>
      <c r="EH103" s="163"/>
      <c r="EI103" s="47"/>
      <c r="EP103" s="73"/>
    </row>
    <row r="104" spans="1:188" ht="12" customHeight="1">
      <c r="A104" s="289"/>
      <c r="B104" s="290"/>
      <c r="C104" s="290"/>
      <c r="D104" s="290"/>
      <c r="E104" s="290"/>
      <c r="F104" s="290"/>
      <c r="G104" s="290"/>
      <c r="H104" s="290"/>
      <c r="I104" s="290"/>
      <c r="J104" s="290"/>
      <c r="K104" s="290"/>
      <c r="L104" s="290"/>
      <c r="M104" s="290"/>
      <c r="N104" s="290"/>
      <c r="O104" s="290"/>
      <c r="P104" s="290"/>
      <c r="Q104" s="291"/>
      <c r="R104" s="289"/>
      <c r="S104" s="290"/>
      <c r="T104" s="290"/>
      <c r="U104" s="290"/>
      <c r="V104" s="290"/>
      <c r="W104" s="290"/>
      <c r="X104" s="290"/>
      <c r="Y104" s="290"/>
      <c r="Z104" s="290"/>
      <c r="AA104" s="290"/>
      <c r="AB104" s="290"/>
      <c r="AC104" s="290"/>
      <c r="AD104" s="291"/>
      <c r="AE104" s="464"/>
      <c r="AF104" s="465"/>
      <c r="AG104" s="465"/>
      <c r="AH104" s="465"/>
      <c r="AI104" s="465"/>
      <c r="AJ104" s="465"/>
      <c r="AK104" s="465"/>
      <c r="AL104" s="465"/>
      <c r="AM104" s="465"/>
      <c r="AN104" s="465"/>
      <c r="AO104" s="465"/>
      <c r="AP104" s="465"/>
      <c r="AQ104" s="465"/>
      <c r="AR104" s="465"/>
      <c r="AS104" s="465"/>
      <c r="AT104" s="465"/>
      <c r="AU104" s="465"/>
      <c r="AV104" s="465"/>
      <c r="AW104" s="465"/>
      <c r="AX104" s="465"/>
      <c r="AY104" s="465"/>
      <c r="AZ104" s="465"/>
      <c r="BA104" s="466"/>
      <c r="BB104" s="464"/>
      <c r="BC104" s="465"/>
      <c r="BD104" s="465"/>
      <c r="BE104" s="465"/>
      <c r="BF104" s="465"/>
      <c r="BG104" s="465"/>
      <c r="BH104" s="465"/>
      <c r="BI104" s="465"/>
      <c r="BJ104" s="465"/>
      <c r="BK104" s="465"/>
      <c r="BL104" s="465"/>
      <c r="BM104" s="465"/>
      <c r="BN104" s="465"/>
      <c r="BO104" s="465"/>
      <c r="BP104" s="465"/>
      <c r="BQ104" s="465"/>
      <c r="BR104" s="465"/>
      <c r="BS104" s="465"/>
      <c r="BT104" s="465"/>
      <c r="BU104" s="465"/>
      <c r="BV104" s="465"/>
      <c r="BW104" s="465"/>
      <c r="BX104" s="465"/>
      <c r="BY104" s="465"/>
      <c r="BZ104" s="466"/>
      <c r="CA104" s="70"/>
      <c r="CB104" s="74"/>
      <c r="CC104" s="180"/>
      <c r="CD104" s="180"/>
      <c r="CE104" s="180"/>
      <c r="CF104" s="180"/>
      <c r="CG104" s="180"/>
      <c r="CH104" s="181"/>
      <c r="CI104" s="181"/>
      <c r="CJ104" s="181"/>
      <c r="CK104" s="181"/>
      <c r="CL104" s="181"/>
      <c r="CM104" s="181"/>
      <c r="CN104" s="181"/>
      <c r="CO104" s="181"/>
      <c r="CP104" s="181"/>
      <c r="CQ104" s="181"/>
      <c r="CR104" s="181"/>
      <c r="CS104" s="181"/>
      <c r="CT104" s="181"/>
      <c r="CU104" s="181"/>
      <c r="CV104" s="188"/>
      <c r="CW104" s="189"/>
      <c r="CX104" s="189"/>
      <c r="CY104" s="189"/>
      <c r="CZ104" s="189"/>
      <c r="DA104" s="189"/>
      <c r="DB104" s="190"/>
      <c r="DC104" s="93"/>
      <c r="DD104" s="93"/>
      <c r="DE104" s="93"/>
      <c r="DF104" s="93"/>
      <c r="DG104" s="93"/>
      <c r="DH104" s="93"/>
      <c r="DI104" s="93"/>
      <c r="DJ104" s="113"/>
      <c r="DK104" s="93"/>
      <c r="DL104" s="93"/>
      <c r="DM104" s="93"/>
      <c r="DN104" s="93"/>
      <c r="DO104" s="93"/>
      <c r="DP104" s="83"/>
      <c r="DQ104" s="83"/>
      <c r="DR104" s="119"/>
      <c r="DS104" s="119"/>
      <c r="DT104" s="119"/>
      <c r="DU104" s="119"/>
      <c r="DV104" s="119"/>
      <c r="DW104" s="119"/>
      <c r="DY104" s="165"/>
      <c r="DZ104" s="165"/>
      <c r="EA104" s="165"/>
      <c r="EB104" s="165"/>
      <c r="EC104" s="165"/>
      <c r="ED104" s="165"/>
      <c r="EE104" s="165"/>
      <c r="EF104" s="165"/>
      <c r="EG104" s="163"/>
      <c r="EH104" s="163"/>
      <c r="EI104" s="47"/>
      <c r="EP104" s="73"/>
    </row>
    <row r="105" spans="1:188" ht="15.75" customHeight="1">
      <c r="A105" s="289"/>
      <c r="B105" s="290"/>
      <c r="C105" s="290"/>
      <c r="D105" s="290"/>
      <c r="E105" s="290"/>
      <c r="F105" s="290"/>
      <c r="G105" s="290"/>
      <c r="H105" s="290"/>
      <c r="I105" s="290"/>
      <c r="J105" s="290"/>
      <c r="K105" s="290"/>
      <c r="L105" s="290"/>
      <c r="M105" s="290"/>
      <c r="N105" s="290"/>
      <c r="O105" s="290"/>
      <c r="P105" s="290"/>
      <c r="Q105" s="291"/>
      <c r="R105" s="289"/>
      <c r="S105" s="290"/>
      <c r="T105" s="290"/>
      <c r="U105" s="290"/>
      <c r="V105" s="290"/>
      <c r="W105" s="290"/>
      <c r="X105" s="290"/>
      <c r="Y105" s="290"/>
      <c r="Z105" s="290"/>
      <c r="AA105" s="290"/>
      <c r="AB105" s="290"/>
      <c r="AC105" s="290"/>
      <c r="AD105" s="291"/>
      <c r="AE105" s="464"/>
      <c r="AF105" s="465"/>
      <c r="AG105" s="465"/>
      <c r="AH105" s="465"/>
      <c r="AI105" s="465"/>
      <c r="AJ105" s="465"/>
      <c r="AK105" s="465"/>
      <c r="AL105" s="465"/>
      <c r="AM105" s="465"/>
      <c r="AN105" s="465"/>
      <c r="AO105" s="465"/>
      <c r="AP105" s="465"/>
      <c r="AQ105" s="465"/>
      <c r="AR105" s="465"/>
      <c r="AS105" s="465"/>
      <c r="AT105" s="465"/>
      <c r="AU105" s="465"/>
      <c r="AV105" s="465"/>
      <c r="AW105" s="465"/>
      <c r="AX105" s="465"/>
      <c r="AY105" s="465"/>
      <c r="AZ105" s="465"/>
      <c r="BA105" s="466"/>
      <c r="BB105" s="464"/>
      <c r="BC105" s="465"/>
      <c r="BD105" s="465"/>
      <c r="BE105" s="465"/>
      <c r="BF105" s="465"/>
      <c r="BG105" s="465"/>
      <c r="BH105" s="465"/>
      <c r="BI105" s="465"/>
      <c r="BJ105" s="465"/>
      <c r="BK105" s="465"/>
      <c r="BL105" s="465"/>
      <c r="BM105" s="465"/>
      <c r="BN105" s="465"/>
      <c r="BO105" s="465"/>
      <c r="BP105" s="465"/>
      <c r="BQ105" s="465"/>
      <c r="BR105" s="465"/>
      <c r="BS105" s="465"/>
      <c r="BT105" s="465"/>
      <c r="BU105" s="465"/>
      <c r="BV105" s="465"/>
      <c r="BW105" s="465"/>
      <c r="BX105" s="465"/>
      <c r="BY105" s="465"/>
      <c r="BZ105" s="466"/>
      <c r="CA105" s="70"/>
      <c r="CB105" s="74"/>
      <c r="CC105" s="114"/>
      <c r="CD105" s="114"/>
      <c r="CE105" s="120"/>
      <c r="CF105" s="120"/>
      <c r="CG105" s="120"/>
      <c r="CH105" s="120"/>
      <c r="CI105" s="120"/>
      <c r="CJ105" s="120"/>
      <c r="CK105" s="120"/>
      <c r="CL105" s="120"/>
      <c r="CM105" s="120"/>
      <c r="CN105" s="120"/>
      <c r="CO105" s="115"/>
      <c r="CP105" s="115"/>
      <c r="CQ105" s="115"/>
      <c r="CR105" s="93"/>
      <c r="CS105" s="93"/>
      <c r="CT105" s="93"/>
      <c r="CU105" s="93"/>
      <c r="CV105" s="93"/>
      <c r="CW105" s="93"/>
      <c r="CX105" s="93"/>
      <c r="CY105" s="93"/>
      <c r="CZ105" s="93"/>
      <c r="DA105" s="93"/>
      <c r="DB105" s="93"/>
      <c r="DC105" s="93"/>
      <c r="DD105" s="93"/>
      <c r="DE105" s="93"/>
      <c r="DF105" s="93"/>
      <c r="DG105" s="93"/>
      <c r="DH105" s="93"/>
      <c r="DI105" s="93"/>
      <c r="DJ105" s="113"/>
      <c r="DK105" s="93"/>
      <c r="DL105" s="93"/>
      <c r="DM105" s="93"/>
      <c r="DN105" s="93"/>
      <c r="DO105" s="93"/>
      <c r="DP105" s="83"/>
      <c r="DQ105" s="83"/>
      <c r="DR105" s="119"/>
      <c r="DS105" s="119"/>
      <c r="DT105" s="119"/>
      <c r="DU105" s="119"/>
      <c r="DV105" s="119"/>
      <c r="DW105" s="119"/>
      <c r="DY105" s="162"/>
      <c r="DZ105" s="165"/>
      <c r="EA105" s="165"/>
      <c r="EB105" s="165"/>
      <c r="EC105" s="165"/>
      <c r="ED105" s="165"/>
      <c r="EE105" s="165"/>
      <c r="EF105" s="165"/>
      <c r="EG105" s="162"/>
      <c r="EH105" s="163"/>
      <c r="EI105" s="47"/>
    </row>
    <row r="106" spans="1:188" ht="12.75" customHeight="1">
      <c r="A106" s="289"/>
      <c r="B106" s="290"/>
      <c r="C106" s="290"/>
      <c r="D106" s="290"/>
      <c r="E106" s="290"/>
      <c r="F106" s="290"/>
      <c r="G106" s="290"/>
      <c r="H106" s="290"/>
      <c r="I106" s="290"/>
      <c r="J106" s="290"/>
      <c r="K106" s="290"/>
      <c r="L106" s="290"/>
      <c r="M106" s="290"/>
      <c r="N106" s="290"/>
      <c r="O106" s="290"/>
      <c r="P106" s="290"/>
      <c r="Q106" s="291"/>
      <c r="R106" s="289"/>
      <c r="S106" s="290"/>
      <c r="T106" s="290"/>
      <c r="U106" s="290"/>
      <c r="V106" s="290"/>
      <c r="W106" s="290"/>
      <c r="X106" s="290"/>
      <c r="Y106" s="290"/>
      <c r="Z106" s="290"/>
      <c r="AA106" s="290"/>
      <c r="AB106" s="290"/>
      <c r="AC106" s="290"/>
      <c r="AD106" s="291"/>
      <c r="AE106" s="464"/>
      <c r="AF106" s="465"/>
      <c r="AG106" s="465"/>
      <c r="AH106" s="465"/>
      <c r="AI106" s="465"/>
      <c r="AJ106" s="465"/>
      <c r="AK106" s="465"/>
      <c r="AL106" s="465"/>
      <c r="AM106" s="465"/>
      <c r="AN106" s="465"/>
      <c r="AO106" s="465"/>
      <c r="AP106" s="465"/>
      <c r="AQ106" s="465"/>
      <c r="AR106" s="465"/>
      <c r="AS106" s="465"/>
      <c r="AT106" s="465"/>
      <c r="AU106" s="465"/>
      <c r="AV106" s="465"/>
      <c r="AW106" s="465"/>
      <c r="AX106" s="465"/>
      <c r="AY106" s="465"/>
      <c r="AZ106" s="465"/>
      <c r="BA106" s="466"/>
      <c r="BB106" s="464"/>
      <c r="BC106" s="465"/>
      <c r="BD106" s="465"/>
      <c r="BE106" s="465"/>
      <c r="BF106" s="465"/>
      <c r="BG106" s="465"/>
      <c r="BH106" s="465"/>
      <c r="BI106" s="465"/>
      <c r="BJ106" s="465"/>
      <c r="BK106" s="465"/>
      <c r="BL106" s="465"/>
      <c r="BM106" s="465"/>
      <c r="BN106" s="465"/>
      <c r="BO106" s="465"/>
      <c r="BP106" s="465"/>
      <c r="BQ106" s="465"/>
      <c r="BR106" s="465"/>
      <c r="BS106" s="465"/>
      <c r="BT106" s="465"/>
      <c r="BU106" s="465"/>
      <c r="BV106" s="465"/>
      <c r="BW106" s="465"/>
      <c r="BX106" s="465"/>
      <c r="BY106" s="465"/>
      <c r="BZ106" s="466"/>
      <c r="CA106" s="70"/>
      <c r="CB106" s="74"/>
      <c r="CC106" s="121"/>
      <c r="CD106" s="121"/>
      <c r="CE106" s="121"/>
      <c r="CF106" s="121"/>
      <c r="CG106" s="121"/>
      <c r="CH106" s="121"/>
      <c r="CI106" s="121"/>
      <c r="CJ106" s="121"/>
      <c r="CK106" s="121"/>
      <c r="CL106" s="121"/>
      <c r="CM106" s="121"/>
      <c r="CN106" s="121"/>
      <c r="CO106" s="2"/>
      <c r="CP106" s="2"/>
      <c r="CQ106" s="2"/>
      <c r="CR106"/>
      <c r="CS106"/>
      <c r="CT106"/>
      <c r="CU106"/>
      <c r="CV106"/>
      <c r="CW106"/>
      <c r="CX106"/>
      <c r="CY106"/>
      <c r="CZ106"/>
      <c r="DA106"/>
      <c r="DB106"/>
      <c r="DC106"/>
      <c r="DD106"/>
      <c r="DE106"/>
      <c r="DF106"/>
      <c r="DG106"/>
      <c r="DH106"/>
      <c r="DI106" s="109"/>
      <c r="DJ106" s="122"/>
      <c r="DK106"/>
      <c r="DL106"/>
      <c r="DM106"/>
      <c r="DN106"/>
      <c r="DO106"/>
      <c r="DP106" s="88"/>
      <c r="DQ106" s="88"/>
      <c r="DR106" s="118"/>
      <c r="DS106" s="118"/>
      <c r="DT106" s="118"/>
      <c r="DU106" s="118"/>
      <c r="DV106" s="118"/>
      <c r="DW106" s="118"/>
      <c r="DY106" s="165"/>
      <c r="DZ106" s="165"/>
      <c r="EA106" s="165"/>
      <c r="EB106" s="165"/>
      <c r="EC106" s="165"/>
      <c r="ED106" s="165"/>
      <c r="EE106" s="165"/>
      <c r="EF106" s="165"/>
      <c r="EG106" s="163"/>
      <c r="EH106" s="163"/>
      <c r="EI106" s="47"/>
    </row>
    <row r="107" spans="1:188" ht="4.7" hidden="1" customHeight="1">
      <c r="A107" s="289"/>
      <c r="B107" s="290"/>
      <c r="C107" s="290"/>
      <c r="D107" s="290"/>
      <c r="E107" s="290"/>
      <c r="F107" s="290"/>
      <c r="G107" s="290"/>
      <c r="H107" s="290"/>
      <c r="I107" s="290"/>
      <c r="J107" s="290"/>
      <c r="K107" s="290"/>
      <c r="L107" s="290"/>
      <c r="M107" s="290"/>
      <c r="N107" s="290"/>
      <c r="O107" s="290"/>
      <c r="P107" s="290"/>
      <c r="Q107" s="291"/>
      <c r="R107" s="289"/>
      <c r="S107" s="290"/>
      <c r="T107" s="290"/>
      <c r="U107" s="290"/>
      <c r="V107" s="290"/>
      <c r="W107" s="290"/>
      <c r="X107" s="290"/>
      <c r="Y107" s="290"/>
      <c r="Z107" s="290"/>
      <c r="AA107" s="290"/>
      <c r="AB107" s="290"/>
      <c r="AC107" s="290"/>
      <c r="AD107" s="291"/>
      <c r="AE107" s="464"/>
      <c r="AF107" s="465"/>
      <c r="AG107" s="465"/>
      <c r="AH107" s="465"/>
      <c r="AI107" s="465"/>
      <c r="AJ107" s="465"/>
      <c r="AK107" s="465"/>
      <c r="AL107" s="465"/>
      <c r="AM107" s="465"/>
      <c r="AN107" s="465"/>
      <c r="AO107" s="465"/>
      <c r="AP107" s="465"/>
      <c r="AQ107" s="465"/>
      <c r="AR107" s="465"/>
      <c r="AS107" s="465"/>
      <c r="AT107" s="465"/>
      <c r="AU107" s="465"/>
      <c r="AV107" s="465"/>
      <c r="AW107" s="465"/>
      <c r="AX107" s="465"/>
      <c r="AY107" s="465"/>
      <c r="AZ107" s="465"/>
      <c r="BA107" s="466"/>
      <c r="BB107" s="464"/>
      <c r="BC107" s="465"/>
      <c r="BD107" s="465"/>
      <c r="BE107" s="465"/>
      <c r="BF107" s="465"/>
      <c r="BG107" s="465"/>
      <c r="BH107" s="465"/>
      <c r="BI107" s="465"/>
      <c r="BJ107" s="465"/>
      <c r="BK107" s="465"/>
      <c r="BL107" s="465"/>
      <c r="BM107" s="465"/>
      <c r="BN107" s="465"/>
      <c r="BO107" s="465"/>
      <c r="BP107" s="465"/>
      <c r="BQ107" s="465"/>
      <c r="BR107" s="465"/>
      <c r="BS107" s="465"/>
      <c r="BT107" s="465"/>
      <c r="BU107" s="465"/>
      <c r="BV107" s="465"/>
      <c r="BW107" s="465"/>
      <c r="BX107" s="465"/>
      <c r="BY107" s="465"/>
      <c r="BZ107" s="466"/>
      <c r="CA107" s="70"/>
      <c r="CB107" s="74"/>
      <c r="CC107" s="121"/>
      <c r="CD107" s="121"/>
      <c r="CE107" s="121"/>
      <c r="CF107" s="121"/>
      <c r="CG107" s="121"/>
      <c r="CH107" s="121"/>
      <c r="CI107" s="121"/>
      <c r="CJ107" s="121"/>
      <c r="CK107" s="121"/>
      <c r="CL107" s="121"/>
      <c r="CM107" s="121"/>
      <c r="CN107" s="121"/>
      <c r="CO107" s="2"/>
      <c r="CP107" s="109"/>
      <c r="CQ107" s="109"/>
      <c r="CR107" s="2"/>
      <c r="CS107" s="110"/>
      <c r="CT107"/>
      <c r="CU107"/>
      <c r="CV107"/>
      <c r="CW107"/>
      <c r="CX107"/>
      <c r="CY107"/>
      <c r="CZ107"/>
      <c r="DA107"/>
      <c r="DB107"/>
      <c r="DC107"/>
      <c r="DD107"/>
      <c r="DE107"/>
      <c r="DF107"/>
      <c r="DG107"/>
      <c r="DH107"/>
      <c r="DI107" s="109"/>
      <c r="DJ107" s="123"/>
      <c r="DK107" s="123"/>
      <c r="DL107" s="123"/>
      <c r="DM107" s="123"/>
      <c r="DN107" s="123"/>
      <c r="DO107" s="123"/>
      <c r="DP107" s="88"/>
      <c r="DQ107" s="88"/>
      <c r="DR107" s="119"/>
      <c r="DS107" s="119"/>
      <c r="DT107" s="119"/>
      <c r="DU107" s="119"/>
      <c r="DV107" s="119"/>
      <c r="DW107" s="119"/>
      <c r="DY107" s="165"/>
      <c r="DZ107" s="165"/>
      <c r="EA107" s="165"/>
      <c r="EB107" s="165"/>
      <c r="EC107" s="165"/>
      <c r="ED107" s="165"/>
      <c r="EE107" s="165"/>
      <c r="EF107" s="165"/>
      <c r="EG107" s="163"/>
      <c r="EH107" s="163"/>
      <c r="EI107" s="47"/>
    </row>
    <row r="108" spans="1:188" ht="24" customHeight="1">
      <c r="A108" s="289"/>
      <c r="B108" s="290"/>
      <c r="C108" s="290"/>
      <c r="D108" s="290"/>
      <c r="E108" s="290"/>
      <c r="F108" s="290"/>
      <c r="G108" s="290"/>
      <c r="H108" s="290"/>
      <c r="I108" s="290"/>
      <c r="J108" s="290"/>
      <c r="K108" s="290"/>
      <c r="L108" s="290"/>
      <c r="M108" s="290"/>
      <c r="N108" s="290"/>
      <c r="O108" s="290"/>
      <c r="P108" s="290"/>
      <c r="Q108" s="291"/>
      <c r="R108" s="289"/>
      <c r="S108" s="290"/>
      <c r="T108" s="290"/>
      <c r="U108" s="290"/>
      <c r="V108" s="290"/>
      <c r="W108" s="290"/>
      <c r="X108" s="290"/>
      <c r="Y108" s="290"/>
      <c r="Z108" s="290"/>
      <c r="AA108" s="290"/>
      <c r="AB108" s="290"/>
      <c r="AC108" s="290"/>
      <c r="AD108" s="291"/>
      <c r="AE108" s="464"/>
      <c r="AF108" s="465"/>
      <c r="AG108" s="465"/>
      <c r="AH108" s="465"/>
      <c r="AI108" s="465"/>
      <c r="AJ108" s="465"/>
      <c r="AK108" s="465"/>
      <c r="AL108" s="465"/>
      <c r="AM108" s="465"/>
      <c r="AN108" s="465"/>
      <c r="AO108" s="465"/>
      <c r="AP108" s="465"/>
      <c r="AQ108" s="465"/>
      <c r="AR108" s="465"/>
      <c r="AS108" s="465"/>
      <c r="AT108" s="465"/>
      <c r="AU108" s="465"/>
      <c r="AV108" s="465"/>
      <c r="AW108" s="465"/>
      <c r="AX108" s="465"/>
      <c r="AY108" s="465"/>
      <c r="AZ108" s="465"/>
      <c r="BA108" s="466"/>
      <c r="BB108" s="464"/>
      <c r="BC108" s="465"/>
      <c r="BD108" s="465"/>
      <c r="BE108" s="465"/>
      <c r="BF108" s="465"/>
      <c r="BG108" s="465"/>
      <c r="BH108" s="465"/>
      <c r="BI108" s="465"/>
      <c r="BJ108" s="465"/>
      <c r="BK108" s="465"/>
      <c r="BL108" s="465"/>
      <c r="BM108" s="465"/>
      <c r="BN108" s="465"/>
      <c r="BO108" s="465"/>
      <c r="BP108" s="465"/>
      <c r="BQ108" s="465"/>
      <c r="BR108" s="465"/>
      <c r="BS108" s="465"/>
      <c r="BT108" s="465"/>
      <c r="BU108" s="465"/>
      <c r="BV108" s="465"/>
      <c r="BW108" s="465"/>
      <c r="BX108" s="465"/>
      <c r="BY108" s="465"/>
      <c r="BZ108" s="466"/>
      <c r="CA108" s="70"/>
      <c r="CB108" s="74"/>
      <c r="CC108" s="121"/>
      <c r="CD108" s="121"/>
      <c r="CE108" s="121"/>
      <c r="CF108" s="121"/>
      <c r="CG108" s="121"/>
      <c r="CH108" s="121"/>
      <c r="CI108" s="121"/>
      <c r="CJ108" s="121"/>
      <c r="CK108" s="121"/>
      <c r="CL108" s="121"/>
      <c r="CM108" s="121"/>
      <c r="CN108" s="121"/>
      <c r="CO108" s="2"/>
      <c r="CP108" s="109"/>
      <c r="CQ108" s="109"/>
      <c r="CR108" s="124"/>
      <c r="CS108" s="124"/>
      <c r="CT108" s="124"/>
      <c r="CU108" s="124"/>
      <c r="CV108" s="124"/>
      <c r="CW108" s="124"/>
      <c r="CX108" s="124"/>
      <c r="CY108" s="124"/>
      <c r="CZ108" s="124"/>
      <c r="DA108" s="124"/>
      <c r="DB108" s="124"/>
      <c r="DC108" s="124"/>
      <c r="DD108" s="124"/>
      <c r="DE108" s="124"/>
      <c r="DF108" s="124"/>
      <c r="DG108" s="124"/>
      <c r="DH108" s="124"/>
      <c r="DI108"/>
      <c r="DJ108" s="123"/>
      <c r="DK108" s="123"/>
      <c r="DL108" s="123"/>
      <c r="DM108" s="123"/>
      <c r="DN108" s="123"/>
      <c r="DO108" s="123"/>
      <c r="DP108" s="83"/>
      <c r="DQ108" s="83"/>
      <c r="DR108" s="119"/>
      <c r="DS108" s="119"/>
      <c r="DT108" s="119"/>
      <c r="DU108" s="119"/>
      <c r="DV108" s="119"/>
      <c r="DW108" s="119"/>
      <c r="DY108" s="162"/>
      <c r="DZ108" s="162"/>
      <c r="EA108" s="162"/>
      <c r="EB108" s="162"/>
      <c r="EC108" s="162"/>
      <c r="ED108" s="162"/>
      <c r="EE108" s="162"/>
      <c r="EF108" s="162"/>
      <c r="EG108" s="163"/>
      <c r="EH108" s="163"/>
      <c r="EI108" s="47"/>
      <c r="EP108" s="73"/>
    </row>
    <row r="109" spans="1:188" ht="4.7" customHeight="1">
      <c r="A109" s="289"/>
      <c r="B109" s="290"/>
      <c r="C109" s="290"/>
      <c r="D109" s="290"/>
      <c r="E109" s="290"/>
      <c r="F109" s="290"/>
      <c r="G109" s="290"/>
      <c r="H109" s="290"/>
      <c r="I109" s="290"/>
      <c r="J109" s="290"/>
      <c r="K109" s="290"/>
      <c r="L109" s="290"/>
      <c r="M109" s="290"/>
      <c r="N109" s="290"/>
      <c r="O109" s="290"/>
      <c r="P109" s="290"/>
      <c r="Q109" s="291"/>
      <c r="R109" s="289"/>
      <c r="S109" s="290"/>
      <c r="T109" s="290"/>
      <c r="U109" s="290"/>
      <c r="V109" s="290"/>
      <c r="W109" s="290"/>
      <c r="X109" s="290"/>
      <c r="Y109" s="290"/>
      <c r="Z109" s="290"/>
      <c r="AA109" s="290"/>
      <c r="AB109" s="290"/>
      <c r="AC109" s="290"/>
      <c r="AD109" s="291"/>
      <c r="AE109" s="464"/>
      <c r="AF109" s="465"/>
      <c r="AG109" s="465"/>
      <c r="AH109" s="465"/>
      <c r="AI109" s="465"/>
      <c r="AJ109" s="465"/>
      <c r="AK109" s="465"/>
      <c r="AL109" s="465"/>
      <c r="AM109" s="465"/>
      <c r="AN109" s="465"/>
      <c r="AO109" s="465"/>
      <c r="AP109" s="465"/>
      <c r="AQ109" s="465"/>
      <c r="AR109" s="465"/>
      <c r="AS109" s="465"/>
      <c r="AT109" s="465"/>
      <c r="AU109" s="465"/>
      <c r="AV109" s="465"/>
      <c r="AW109" s="465"/>
      <c r="AX109" s="465"/>
      <c r="AY109" s="465"/>
      <c r="AZ109" s="465"/>
      <c r="BA109" s="466"/>
      <c r="BB109" s="464"/>
      <c r="BC109" s="465"/>
      <c r="BD109" s="465"/>
      <c r="BE109" s="465"/>
      <c r="BF109" s="465"/>
      <c r="BG109" s="465"/>
      <c r="BH109" s="465"/>
      <c r="BI109" s="465"/>
      <c r="BJ109" s="465"/>
      <c r="BK109" s="465"/>
      <c r="BL109" s="465"/>
      <c r="BM109" s="465"/>
      <c r="BN109" s="465"/>
      <c r="BO109" s="465"/>
      <c r="BP109" s="465"/>
      <c r="BQ109" s="465"/>
      <c r="BR109" s="465"/>
      <c r="BS109" s="465"/>
      <c r="BT109" s="465"/>
      <c r="BU109" s="465"/>
      <c r="BV109" s="465"/>
      <c r="BW109" s="465"/>
      <c r="BX109" s="465"/>
      <c r="BY109" s="465"/>
      <c r="BZ109" s="466"/>
      <c r="CA109" s="70"/>
      <c r="CB109" s="74"/>
      <c r="CC109" s="121"/>
      <c r="CD109" s="121"/>
      <c r="CE109" s="121"/>
      <c r="CF109" s="121"/>
      <c r="CG109" s="121"/>
      <c r="CH109" s="121"/>
      <c r="CI109" s="121"/>
      <c r="CJ109" s="121"/>
      <c r="CK109" s="121"/>
      <c r="CL109" s="121"/>
      <c r="CM109" s="121"/>
      <c r="CN109" s="121"/>
      <c r="CO109" s="2"/>
      <c r="CP109" s="109"/>
      <c r="CQ109" s="109"/>
      <c r="CR109" s="2"/>
      <c r="CS109" s="2"/>
      <c r="CT109"/>
      <c r="CU109"/>
      <c r="CV109"/>
      <c r="CW109"/>
      <c r="CX109"/>
      <c r="CY109"/>
      <c r="CZ109"/>
      <c r="DA109"/>
      <c r="DB109"/>
      <c r="DC109"/>
      <c r="DD109"/>
      <c r="DE109"/>
      <c r="DF109"/>
      <c r="DG109"/>
      <c r="DH109"/>
      <c r="DI109"/>
      <c r="DJ109" s="123"/>
      <c r="DK109" s="123"/>
      <c r="DL109" s="123"/>
      <c r="DM109" s="123"/>
      <c r="DN109" s="123"/>
      <c r="DO109" s="123"/>
      <c r="DP109" s="83"/>
      <c r="DQ109" s="83"/>
      <c r="DR109" s="119"/>
      <c r="DS109" s="119"/>
      <c r="DT109" s="119"/>
      <c r="DU109" s="119"/>
      <c r="DV109" s="119"/>
      <c r="DW109" s="119"/>
      <c r="DY109" s="162"/>
      <c r="DZ109" s="162"/>
      <c r="EA109" s="162"/>
      <c r="EB109" s="162"/>
      <c r="EC109" s="162"/>
      <c r="ED109" s="162"/>
      <c r="EE109" s="162"/>
      <c r="EF109" s="162"/>
      <c r="EG109" s="162"/>
      <c r="EH109" s="163"/>
      <c r="EI109" s="47"/>
      <c r="EP109" s="73"/>
    </row>
    <row r="110" spans="1:188" ht="15.75" customHeight="1">
      <c r="A110" s="289"/>
      <c r="B110" s="290"/>
      <c r="C110" s="290"/>
      <c r="D110" s="290"/>
      <c r="E110" s="290"/>
      <c r="F110" s="290"/>
      <c r="G110" s="290"/>
      <c r="H110" s="290"/>
      <c r="I110" s="290"/>
      <c r="J110" s="290"/>
      <c r="K110" s="290"/>
      <c r="L110" s="290"/>
      <c r="M110" s="290"/>
      <c r="N110" s="290"/>
      <c r="O110" s="290"/>
      <c r="P110" s="290"/>
      <c r="Q110" s="291"/>
      <c r="R110" s="289"/>
      <c r="S110" s="290"/>
      <c r="T110" s="290"/>
      <c r="U110" s="290"/>
      <c r="V110" s="290"/>
      <c r="W110" s="290"/>
      <c r="X110" s="290"/>
      <c r="Y110" s="290"/>
      <c r="Z110" s="290"/>
      <c r="AA110" s="290"/>
      <c r="AB110" s="290"/>
      <c r="AC110" s="290"/>
      <c r="AD110" s="291"/>
      <c r="AE110" s="464"/>
      <c r="AF110" s="465"/>
      <c r="AG110" s="465"/>
      <c r="AH110" s="465"/>
      <c r="AI110" s="465"/>
      <c r="AJ110" s="465"/>
      <c r="AK110" s="465"/>
      <c r="AL110" s="465"/>
      <c r="AM110" s="465"/>
      <c r="AN110" s="465"/>
      <c r="AO110" s="465"/>
      <c r="AP110" s="465"/>
      <c r="AQ110" s="465"/>
      <c r="AR110" s="465"/>
      <c r="AS110" s="465"/>
      <c r="AT110" s="465"/>
      <c r="AU110" s="465"/>
      <c r="AV110" s="465"/>
      <c r="AW110" s="465"/>
      <c r="AX110" s="465"/>
      <c r="AY110" s="465"/>
      <c r="AZ110" s="465"/>
      <c r="BA110" s="466"/>
      <c r="BB110" s="464"/>
      <c r="BC110" s="465"/>
      <c r="BD110" s="465"/>
      <c r="BE110" s="465"/>
      <c r="BF110" s="465"/>
      <c r="BG110" s="465"/>
      <c r="BH110" s="465"/>
      <c r="BI110" s="465"/>
      <c r="BJ110" s="465"/>
      <c r="BK110" s="465"/>
      <c r="BL110" s="465"/>
      <c r="BM110" s="465"/>
      <c r="BN110" s="465"/>
      <c r="BO110" s="465"/>
      <c r="BP110" s="465"/>
      <c r="BQ110" s="465"/>
      <c r="BR110" s="465"/>
      <c r="BS110" s="465"/>
      <c r="BT110" s="465"/>
      <c r="BU110" s="465"/>
      <c r="BV110" s="465"/>
      <c r="BW110" s="465"/>
      <c r="BX110" s="465"/>
      <c r="BY110" s="465"/>
      <c r="BZ110" s="466"/>
      <c r="CA110" s="70"/>
      <c r="CB110" s="74"/>
      <c r="CC110" s="121"/>
      <c r="CD110" s="121"/>
      <c r="CE110" s="121"/>
      <c r="CF110" s="121"/>
      <c r="CG110" s="121"/>
      <c r="CH110" s="121"/>
      <c r="CI110" s="121"/>
      <c r="CJ110" s="121"/>
      <c r="CK110" s="121"/>
      <c r="CL110" s="121"/>
      <c r="CM110" s="121"/>
      <c r="CN110" s="121"/>
      <c r="CO110" s="2"/>
      <c r="CP110" s="109"/>
      <c r="CQ110" s="109"/>
      <c r="CR110" s="2"/>
      <c r="CS110" s="2"/>
      <c r="CT110"/>
      <c r="CU110"/>
      <c r="CV110"/>
      <c r="CW110"/>
      <c r="CX110" s="111"/>
      <c r="CY110"/>
      <c r="CZ110" s="111"/>
      <c r="DA110"/>
      <c r="DB110"/>
      <c r="DC110"/>
      <c r="DD110"/>
      <c r="DE110"/>
      <c r="DF110"/>
      <c r="DG110"/>
      <c r="DH110"/>
      <c r="DI110"/>
      <c r="DJ110" s="123"/>
      <c r="DK110" s="123"/>
      <c r="DL110" s="123"/>
      <c r="DM110" s="123"/>
      <c r="DN110" s="123"/>
      <c r="DO110" s="123"/>
      <c r="DP110" s="109"/>
      <c r="DQ110" s="109"/>
      <c r="DR110" s="119"/>
      <c r="DS110" s="119"/>
      <c r="DT110" s="119"/>
      <c r="DU110" s="119"/>
      <c r="DV110" s="119"/>
      <c r="DW110" s="119"/>
      <c r="DY110" s="162"/>
      <c r="DZ110" s="162"/>
      <c r="EA110" s="162"/>
      <c r="EB110" s="162"/>
      <c r="EC110" s="162"/>
      <c r="ED110" s="162"/>
      <c r="EE110" s="162"/>
      <c r="EF110" s="162"/>
      <c r="EG110" s="163"/>
      <c r="EH110" s="163"/>
      <c r="EI110" s="47"/>
      <c r="EJ110" s="40"/>
      <c r="EK110" s="40"/>
      <c r="EL110" s="40"/>
      <c r="EM110" s="40"/>
    </row>
    <row r="111" spans="1:188" ht="4.7" customHeight="1" thickBot="1">
      <c r="A111" s="292"/>
      <c r="B111" s="293"/>
      <c r="C111" s="293"/>
      <c r="D111" s="293"/>
      <c r="E111" s="293"/>
      <c r="F111" s="293"/>
      <c r="G111" s="293"/>
      <c r="H111" s="293"/>
      <c r="I111" s="293"/>
      <c r="J111" s="293"/>
      <c r="K111" s="293"/>
      <c r="L111" s="293"/>
      <c r="M111" s="293"/>
      <c r="N111" s="293"/>
      <c r="O111" s="293"/>
      <c r="P111" s="293"/>
      <c r="Q111" s="294"/>
      <c r="R111" s="292"/>
      <c r="S111" s="293"/>
      <c r="T111" s="293"/>
      <c r="U111" s="293"/>
      <c r="V111" s="293"/>
      <c r="W111" s="293"/>
      <c r="X111" s="293"/>
      <c r="Y111" s="293"/>
      <c r="Z111" s="293"/>
      <c r="AA111" s="293"/>
      <c r="AB111" s="293"/>
      <c r="AC111" s="293"/>
      <c r="AD111" s="294"/>
      <c r="AE111" s="467"/>
      <c r="AF111" s="468"/>
      <c r="AG111" s="468"/>
      <c r="AH111" s="468"/>
      <c r="AI111" s="468"/>
      <c r="AJ111" s="468"/>
      <c r="AK111" s="468"/>
      <c r="AL111" s="468"/>
      <c r="AM111" s="468"/>
      <c r="AN111" s="468"/>
      <c r="AO111" s="468"/>
      <c r="AP111" s="468"/>
      <c r="AQ111" s="468"/>
      <c r="AR111" s="468"/>
      <c r="AS111" s="468"/>
      <c r="AT111" s="468"/>
      <c r="AU111" s="468"/>
      <c r="AV111" s="468"/>
      <c r="AW111" s="468"/>
      <c r="AX111" s="468"/>
      <c r="AY111" s="468"/>
      <c r="AZ111" s="468"/>
      <c r="BA111" s="469"/>
      <c r="BB111" s="467"/>
      <c r="BC111" s="468"/>
      <c r="BD111" s="468"/>
      <c r="BE111" s="468"/>
      <c r="BF111" s="468"/>
      <c r="BG111" s="468"/>
      <c r="BH111" s="468"/>
      <c r="BI111" s="468"/>
      <c r="BJ111" s="468"/>
      <c r="BK111" s="468"/>
      <c r="BL111" s="468"/>
      <c r="BM111" s="468"/>
      <c r="BN111" s="468"/>
      <c r="BO111" s="468"/>
      <c r="BP111" s="468"/>
      <c r="BQ111" s="468"/>
      <c r="BR111" s="468"/>
      <c r="BS111" s="468"/>
      <c r="BT111" s="468"/>
      <c r="BU111" s="468"/>
      <c r="BV111" s="468"/>
      <c r="BW111" s="468"/>
      <c r="BX111" s="468"/>
      <c r="BY111" s="468"/>
      <c r="BZ111" s="469"/>
      <c r="CA111" s="70"/>
      <c r="CB111" s="75"/>
      <c r="CC111" s="76"/>
      <c r="CD111" s="76"/>
      <c r="CE111" s="76"/>
      <c r="CF111" s="76"/>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50"/>
      <c r="DF111" s="50"/>
      <c r="DG111" s="50"/>
      <c r="DH111" s="50"/>
      <c r="DI111" s="50"/>
      <c r="DJ111" s="50"/>
      <c r="DK111" s="50"/>
      <c r="DL111" s="50"/>
      <c r="DM111" s="50"/>
      <c r="DN111" s="50"/>
      <c r="DO111" s="51"/>
      <c r="DP111" s="52"/>
      <c r="DQ111" s="52"/>
      <c r="DR111" s="53"/>
      <c r="DS111" s="53"/>
      <c r="DT111" s="53"/>
      <c r="DU111" s="53"/>
      <c r="DV111" s="53"/>
      <c r="DW111" s="53"/>
      <c r="DX111" s="50"/>
      <c r="DY111" s="50"/>
      <c r="DZ111" s="50"/>
      <c r="EA111" s="50"/>
      <c r="EB111" s="50"/>
      <c r="EC111" s="50"/>
      <c r="ED111" s="50"/>
      <c r="EE111" s="50"/>
      <c r="EF111" s="50"/>
      <c r="EG111" s="50"/>
      <c r="EH111" s="50"/>
      <c r="EI111" s="54"/>
      <c r="EJ111" s="40"/>
      <c r="EK111" s="40"/>
      <c r="EL111" s="40"/>
      <c r="EM111" s="40"/>
      <c r="EN111" s="40"/>
      <c r="EP111" s="2"/>
    </row>
    <row r="112" spans="1:188" ht="12.75" thickTop="1">
      <c r="EH112" s="40"/>
      <c r="EI112" s="40"/>
      <c r="EJ112" s="40"/>
      <c r="EK112" s="40"/>
      <c r="EL112" s="40"/>
      <c r="EM112" s="40"/>
      <c r="EN112" s="40"/>
    </row>
  </sheetData>
  <sheetProtection selectLockedCells="1"/>
  <mergeCells count="334">
    <mergeCell ref="DI88:DJ89"/>
    <mergeCell ref="DI90:DJ91"/>
    <mergeCell ref="AE98:BZ98"/>
    <mergeCell ref="BF12:BH13"/>
    <mergeCell ref="CI13:CP13"/>
    <mergeCell ref="CQ13:CT13"/>
    <mergeCell ref="AF12:AY13"/>
    <mergeCell ref="A100:Q111"/>
    <mergeCell ref="DX1:EC1"/>
    <mergeCell ref="R99:AD99"/>
    <mergeCell ref="R100:AD111"/>
    <mergeCell ref="BB99:BZ99"/>
    <mergeCell ref="BB100:BZ111"/>
    <mergeCell ref="AE99:BA99"/>
    <mergeCell ref="AE100:BA111"/>
    <mergeCell ref="BC12:BE13"/>
    <mergeCell ref="BC28:BE34"/>
    <mergeCell ref="BC35:BE41"/>
    <mergeCell ref="AJ96:AM96"/>
    <mergeCell ref="AN86:BF86"/>
    <mergeCell ref="X87:AI87"/>
    <mergeCell ref="BV96:BZ96"/>
    <mergeCell ref="BJ88:BU95"/>
    <mergeCell ref="AN87:BF87"/>
    <mergeCell ref="ED1:EI1"/>
    <mergeCell ref="CF49:CH55"/>
    <mergeCell ref="CQ49:CT55"/>
    <mergeCell ref="CU49:CW55"/>
    <mergeCell ref="DU49:DW55"/>
    <mergeCell ref="CX55:CY55"/>
    <mergeCell ref="DE94:DL94"/>
    <mergeCell ref="DJ1:DQ1"/>
    <mergeCell ref="DR1:DW1"/>
    <mergeCell ref="CF12:CP12"/>
    <mergeCell ref="DI87:DJ87"/>
    <mergeCell ref="DK90:EE91"/>
    <mergeCell ref="DK92:EE93"/>
    <mergeCell ref="CE87:CN87"/>
    <mergeCell ref="CE89:CN89"/>
    <mergeCell ref="CQ77:CT83"/>
    <mergeCell ref="CU14:CW20"/>
    <mergeCell ref="DO8:DQ8"/>
    <mergeCell ref="CU21:CW27"/>
    <mergeCell ref="BP9:DG9"/>
    <mergeCell ref="BI12:CE12"/>
    <mergeCell ref="BP4:BT5"/>
    <mergeCell ref="BU6:CG7"/>
    <mergeCell ref="CX12:DT12"/>
    <mergeCell ref="AJ88:AM95"/>
    <mergeCell ref="BG86:BU86"/>
    <mergeCell ref="A99:Q99"/>
    <mergeCell ref="DI92:DJ93"/>
    <mergeCell ref="DK87:EE87"/>
    <mergeCell ref="DK88:EE89"/>
    <mergeCell ref="BF84:BH84"/>
    <mergeCell ref="C77:O83"/>
    <mergeCell ref="P77:AE83"/>
    <mergeCell ref="AF77:AY83"/>
    <mergeCell ref="K88:T95"/>
    <mergeCell ref="A98:AD98"/>
    <mergeCell ref="AJ86:AM86"/>
    <mergeCell ref="AN88:BF95"/>
    <mergeCell ref="BG88:BI95"/>
    <mergeCell ref="C88:J95"/>
    <mergeCell ref="CF77:CH83"/>
    <mergeCell ref="A77:B83"/>
    <mergeCell ref="CC89:CD89"/>
    <mergeCell ref="BV88:BZ95"/>
    <mergeCell ref="CC87:CD87"/>
    <mergeCell ref="CC90:CD90"/>
    <mergeCell ref="BV86:BZ86"/>
    <mergeCell ref="CC88:CD88"/>
    <mergeCell ref="A89:B89"/>
    <mergeCell ref="BX49:CE55"/>
    <mergeCell ref="AJ87:AM87"/>
    <mergeCell ref="U88:W95"/>
    <mergeCell ref="X88:AI95"/>
    <mergeCell ref="A90:B90"/>
    <mergeCell ref="A93:B93"/>
    <mergeCell ref="A91:B91"/>
    <mergeCell ref="A92:B92"/>
    <mergeCell ref="BG87:BI87"/>
    <mergeCell ref="CE88:CN88"/>
    <mergeCell ref="BJ87:BU87"/>
    <mergeCell ref="CE90:CN90"/>
    <mergeCell ref="BF56:BH62"/>
    <mergeCell ref="C86:J87"/>
    <mergeCell ref="K86:T86"/>
    <mergeCell ref="K87:T87"/>
    <mergeCell ref="U87:W87"/>
    <mergeCell ref="U86:AI86"/>
    <mergeCell ref="BC49:BE55"/>
    <mergeCell ref="BC56:BE62"/>
    <mergeCell ref="BC63:BE69"/>
    <mergeCell ref="BC70:BE76"/>
    <mergeCell ref="BC77:BE83"/>
    <mergeCell ref="D1:E1"/>
    <mergeCell ref="C12:O13"/>
    <mergeCell ref="P12:AE13"/>
    <mergeCell ref="BX13:CE13"/>
    <mergeCell ref="CF13:CH13"/>
    <mergeCell ref="BP6:BT7"/>
    <mergeCell ref="EC94:EH94"/>
    <mergeCell ref="EF63:EI69"/>
    <mergeCell ref="EF49:EI55"/>
    <mergeCell ref="DM94:EB94"/>
    <mergeCell ref="DJ8:DN9"/>
    <mergeCell ref="DR8:DW8"/>
    <mergeCell ref="BP2:BT3"/>
    <mergeCell ref="CH4:CL5"/>
    <mergeCell ref="CH6:CL7"/>
    <mergeCell ref="DO6:DQ7"/>
    <mergeCell ref="DO4:DQ5"/>
    <mergeCell ref="BU4:CG5"/>
    <mergeCell ref="DM56:DT62"/>
    <mergeCell ref="DM49:DT55"/>
    <mergeCell ref="DO9:DQ9"/>
    <mergeCell ref="DR9:DW9"/>
    <mergeCell ref="DJ4:DN7"/>
    <mergeCell ref="BP10:DC10"/>
    <mergeCell ref="CF14:CH20"/>
    <mergeCell ref="DX9:EC9"/>
    <mergeCell ref="ED9:EI9"/>
    <mergeCell ref="EF70:EI76"/>
    <mergeCell ref="EF42:EI48"/>
    <mergeCell ref="DX49:EE55"/>
    <mergeCell ref="EF56:EI62"/>
    <mergeCell ref="EF77:EI83"/>
    <mergeCell ref="CQ70:CT76"/>
    <mergeCell ref="CQ63:CT69"/>
    <mergeCell ref="CI56:CP62"/>
    <mergeCell ref="CI63:CP69"/>
    <mergeCell ref="CI70:CP76"/>
    <mergeCell ref="CU35:CW41"/>
    <mergeCell ref="CX20:CY20"/>
    <mergeCell ref="CU70:CW76"/>
    <mergeCell ref="CX41:CY41"/>
    <mergeCell ref="CU28:CW34"/>
    <mergeCell ref="DX42:EE48"/>
    <mergeCell ref="DU56:DW62"/>
    <mergeCell ref="DU63:DW69"/>
    <mergeCell ref="DU42:DW48"/>
    <mergeCell ref="DX56:EE62"/>
    <mergeCell ref="CQ28:CT34"/>
    <mergeCell ref="EF84:EI84"/>
    <mergeCell ref="DX63:EE69"/>
    <mergeCell ref="DX6:EC7"/>
    <mergeCell ref="DX4:EC5"/>
    <mergeCell ref="ED4:EI5"/>
    <mergeCell ref="ED6:EI7"/>
    <mergeCell ref="ED8:EI8"/>
    <mergeCell ref="EF35:EI41"/>
    <mergeCell ref="DR2:DW3"/>
    <mergeCell ref="EF14:EI20"/>
    <mergeCell ref="EF21:EI27"/>
    <mergeCell ref="DX14:EE20"/>
    <mergeCell ref="DU21:DW27"/>
    <mergeCell ref="DU14:DW20"/>
    <mergeCell ref="DM14:DT20"/>
    <mergeCell ref="DM70:DT76"/>
    <mergeCell ref="DM42:DT48"/>
    <mergeCell ref="DX35:EE41"/>
    <mergeCell ref="DU28:DW34"/>
    <mergeCell ref="DX28:EE34"/>
    <mergeCell ref="DU35:DW41"/>
    <mergeCell ref="DX21:EE27"/>
    <mergeCell ref="DM28:DT34"/>
    <mergeCell ref="EF28:EI34"/>
    <mergeCell ref="A3:BN10"/>
    <mergeCell ref="CM4:CZ5"/>
    <mergeCell ref="CM6:CZ7"/>
    <mergeCell ref="AX2:BN2"/>
    <mergeCell ref="DR6:DW7"/>
    <mergeCell ref="DR4:DW5"/>
    <mergeCell ref="ED2:EI3"/>
    <mergeCell ref="EF13:EI13"/>
    <mergeCell ref="DX13:EE13"/>
    <mergeCell ref="DX2:EC3"/>
    <mergeCell ref="DX8:EC8"/>
    <mergeCell ref="DJ2:DQ3"/>
    <mergeCell ref="DU13:DW13"/>
    <mergeCell ref="DM13:DT13"/>
    <mergeCell ref="BI13:BW13"/>
    <mergeCell ref="EF12:EI12"/>
    <mergeCell ref="DU12:EE12"/>
    <mergeCell ref="BU2:CZ3"/>
    <mergeCell ref="BP8:DG8"/>
    <mergeCell ref="AZ12:BB13"/>
    <mergeCell ref="CX13:DL13"/>
    <mergeCell ref="DR10:EI10"/>
    <mergeCell ref="BC14:BE20"/>
    <mergeCell ref="BC21:BE27"/>
    <mergeCell ref="BF77:BH83"/>
    <mergeCell ref="CF42:CH48"/>
    <mergeCell ref="AF56:AY62"/>
    <mergeCell ref="CF63:CH69"/>
    <mergeCell ref="BX63:CE69"/>
    <mergeCell ref="BX56:CE62"/>
    <mergeCell ref="AF35:AY41"/>
    <mergeCell ref="BX77:CE83"/>
    <mergeCell ref="BF70:BH76"/>
    <mergeCell ref="BI48:BJ48"/>
    <mergeCell ref="BC42:BE48"/>
    <mergeCell ref="AF63:AY69"/>
    <mergeCell ref="BI76:BJ76"/>
    <mergeCell ref="CF56:CH62"/>
    <mergeCell ref="AF70:AY76"/>
    <mergeCell ref="AF28:AY34"/>
    <mergeCell ref="BI27:BJ27"/>
    <mergeCell ref="BF14:BH20"/>
    <mergeCell ref="BX14:CE20"/>
    <mergeCell ref="AZ14:BB20"/>
    <mergeCell ref="AZ56:BB62"/>
    <mergeCell ref="AZ63:BB69"/>
    <mergeCell ref="CI28:CP34"/>
    <mergeCell ref="CQ21:CT27"/>
    <mergeCell ref="CF28:CH34"/>
    <mergeCell ref="AF42:AY48"/>
    <mergeCell ref="BF42:BH48"/>
    <mergeCell ref="AF49:AY55"/>
    <mergeCell ref="BX35:CE41"/>
    <mergeCell ref="CI35:CP41"/>
    <mergeCell ref="CQ42:CT48"/>
    <mergeCell ref="BX28:CE34"/>
    <mergeCell ref="CQ35:CT41"/>
    <mergeCell ref="AZ21:BB27"/>
    <mergeCell ref="AZ28:BB34"/>
    <mergeCell ref="AZ35:BB41"/>
    <mergeCell ref="AZ42:BB48"/>
    <mergeCell ref="AZ49:BB55"/>
    <mergeCell ref="A14:B20"/>
    <mergeCell ref="DM21:DT27"/>
    <mergeCell ref="CU12:CW13"/>
    <mergeCell ref="BF49:BH55"/>
    <mergeCell ref="CQ14:CT20"/>
    <mergeCell ref="CQ12:CT12"/>
    <mergeCell ref="BX21:CE27"/>
    <mergeCell ref="CX34:CY34"/>
    <mergeCell ref="CF35:CH41"/>
    <mergeCell ref="C14:O20"/>
    <mergeCell ref="P14:AE20"/>
    <mergeCell ref="AF14:AY20"/>
    <mergeCell ref="CI14:CP20"/>
    <mergeCell ref="AF21:AY27"/>
    <mergeCell ref="DM35:DT41"/>
    <mergeCell ref="BF21:BH27"/>
    <mergeCell ref="CF21:CH27"/>
    <mergeCell ref="CI21:CP27"/>
    <mergeCell ref="BI34:BJ34"/>
    <mergeCell ref="CX27:CY27"/>
    <mergeCell ref="BI20:BJ20"/>
    <mergeCell ref="BF35:BH41"/>
    <mergeCell ref="BF28:BH34"/>
    <mergeCell ref="BI41:BJ41"/>
    <mergeCell ref="A70:B76"/>
    <mergeCell ref="A28:B34"/>
    <mergeCell ref="A35:B41"/>
    <mergeCell ref="A42:B48"/>
    <mergeCell ref="A49:B55"/>
    <mergeCell ref="A21:B27"/>
    <mergeCell ref="A56:B62"/>
    <mergeCell ref="A63:B69"/>
    <mergeCell ref="P63:AE69"/>
    <mergeCell ref="C56:O62"/>
    <mergeCell ref="P56:AE62"/>
    <mergeCell ref="C63:O69"/>
    <mergeCell ref="C35:O41"/>
    <mergeCell ref="C21:O27"/>
    <mergeCell ref="P21:AE27"/>
    <mergeCell ref="C42:O48"/>
    <mergeCell ref="P35:AE41"/>
    <mergeCell ref="P42:AE48"/>
    <mergeCell ref="C28:O34"/>
    <mergeCell ref="P28:AE34"/>
    <mergeCell ref="C70:O76"/>
    <mergeCell ref="P70:AE76"/>
    <mergeCell ref="C49:O55"/>
    <mergeCell ref="P49:AE55"/>
    <mergeCell ref="DM63:DT69"/>
    <mergeCell ref="CU56:CW62"/>
    <mergeCell ref="BI83:BJ83"/>
    <mergeCell ref="CU42:CW48"/>
    <mergeCell ref="CI49:CP55"/>
    <mergeCell ref="BI62:BJ62"/>
    <mergeCell ref="BI69:BJ69"/>
    <mergeCell ref="CX48:CY48"/>
    <mergeCell ref="DU77:DW83"/>
    <mergeCell ref="CU63:CW69"/>
    <mergeCell ref="DM77:DT83"/>
    <mergeCell ref="DU70:DW76"/>
    <mergeCell ref="DX77:EE83"/>
    <mergeCell ref="DX70:EE76"/>
    <mergeCell ref="CX76:CY76"/>
    <mergeCell ref="CU77:CW83"/>
    <mergeCell ref="CI77:CP83"/>
    <mergeCell ref="BX70:CE76"/>
    <mergeCell ref="CF70:CH76"/>
    <mergeCell ref="CQ84:CT84"/>
    <mergeCell ref="BV87:BZ87"/>
    <mergeCell ref="AZ70:BB76"/>
    <mergeCell ref="AZ77:BB83"/>
    <mergeCell ref="CI42:CP48"/>
    <mergeCell ref="BX42:CE48"/>
    <mergeCell ref="BI55:BJ55"/>
    <mergeCell ref="CX69:CY69"/>
    <mergeCell ref="CX62:CY62"/>
    <mergeCell ref="CX83:CY83"/>
    <mergeCell ref="CU84:CW84"/>
    <mergeCell ref="BF63:BH69"/>
    <mergeCell ref="CQ56:CT62"/>
    <mergeCell ref="CC101:CG104"/>
    <mergeCell ref="CH101:CN104"/>
    <mergeCell ref="CO101:CU104"/>
    <mergeCell ref="CV101:DB104"/>
    <mergeCell ref="EF87:EH87"/>
    <mergeCell ref="EF88:EH89"/>
    <mergeCell ref="EF92:EH93"/>
    <mergeCell ref="EF90:EH91"/>
    <mergeCell ref="CC96:CG96"/>
    <mergeCell ref="CC97:CG100"/>
    <mergeCell ref="CH96:CN96"/>
    <mergeCell ref="CO96:CU96"/>
    <mergeCell ref="CH97:CN100"/>
    <mergeCell ref="CO97:CU100"/>
    <mergeCell ref="CV96:DB96"/>
    <mergeCell ref="CV97:DB100"/>
    <mergeCell ref="CC91:CD91"/>
    <mergeCell ref="CE91:CN91"/>
    <mergeCell ref="CC92:CD92"/>
    <mergeCell ref="CE92:CN92"/>
    <mergeCell ref="CE93:CN93"/>
    <mergeCell ref="CO87:DG87"/>
    <mergeCell ref="CO93:DG93"/>
    <mergeCell ref="CO94:DA94"/>
  </mergeCells>
  <phoneticPr fontId="2"/>
  <dataValidations count="2">
    <dataValidation allowBlank="1" showInputMessage="1" sqref="BC70 BC14 BC21 BC28 BC35 BC42 BC49 BC56 BC63 BC77" xr:uid="{00000000-0002-0000-0000-000000000000}"/>
    <dataValidation type="list" allowBlank="1" showInputMessage="1" showErrorMessage="1" sqref="CF14:CH83 DU14:DW83 BI20:BJ20 BI27:BJ27 BI34:BJ34 BI41:BJ41 BI48:BJ48 BI55:BJ55 BI62:BJ62 BI69:BJ69 BI76:BJ76 BI83:BJ83 CX20:CY20 CX27:CY27 CX34:CY34 CX41:CY41 CX48:CY48 CX55:CY55 CX62:CY62 CX69:CY69 CX76:CY76 CX83:CY83" xr:uid="{00000000-0002-0000-0000-000001000000}">
      <formula1>"5,4,3,2,1"</formula1>
    </dataValidation>
  </dataValidations>
  <printOptions horizontalCentered="1"/>
  <pageMargins left="0.15748031496062992" right="0.15748031496062992" top="0.59055118110236227" bottom="0.59055118110236227" header="0.31496062992125984" footer="0.15748031496062992"/>
  <pageSetup paperSize="8" scale="71" orientation="portrait" r:id="rId1"/>
  <headerFooter alignWithMargins="0">
    <oddHeader>&amp;L【機密Ⅰ】</oddHeader>
    <oddFooter>&amp;LSO-F3071&amp;C&amp;P / &amp;N ページ&amp;RVer.1.3
2024/03/21</oddFooter>
  </headerFooter>
  <rowBreaks count="1" manualBreakCount="1">
    <brk id="62" max="16383" man="1"/>
  </rowBreaks>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2000000}">
          <x14:formula1>
            <xm:f>設定!$G$31:$G$51</xm:f>
          </x14:formula1>
          <xm:sqref>BG88:BI95 U88:W95</xm:sqref>
        </x14:dataValidation>
        <x14:dataValidation type="list" allowBlank="1" showInputMessage="1" showErrorMessage="1" xr:uid="{00000000-0002-0000-0000-000004000000}">
          <x14:formula1>
            <xm:f>設定!$F$4:$F$15</xm:f>
          </x14:formula1>
          <xm:sqref>CM6:CZ7</xm:sqref>
        </x14:dataValidation>
        <x14:dataValidation type="list" allowBlank="1" showInputMessage="1" showErrorMessage="1" xr:uid="{00000000-0002-0000-0000-000005000000}">
          <x14:formula1>
            <xm:f>設定!$G$26:$G$28</xm:f>
          </x14:formula1>
          <xm:sqref>AZ14:BB83</xm:sqref>
        </x14:dataValidation>
        <x14:dataValidation type="list" allowBlank="1" showInputMessage="1" showErrorMessage="1" xr:uid="{00000000-0002-0000-0000-000003000000}">
          <x14:formula1>
            <xm:f>設定!$B$4:$B$36</xm:f>
          </x14:formula1>
          <xm:sqref>BU6:CG7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ER34"/>
  <sheetViews>
    <sheetView showGridLines="0" view="pageBreakPreview" zoomScaleNormal="80" zoomScaleSheetLayoutView="100" workbookViewId="0"/>
  </sheetViews>
  <sheetFormatPr defaultColWidth="1.375" defaultRowHeight="12"/>
  <cols>
    <col min="1" max="150" width="1.375" style="40" customWidth="1"/>
    <col min="151" max="151" width="0.375" style="40" customWidth="1"/>
    <col min="152" max="16384" width="1.375" style="40"/>
  </cols>
  <sheetData>
    <row r="1" spans="1:148" ht="20.25" customHeight="1">
      <c r="A1" s="84" t="s">
        <v>0</v>
      </c>
      <c r="B1" s="85"/>
      <c r="C1" s="85"/>
      <c r="D1" s="528" t="str">
        <f>ASC(業績評価ｼｰﾄ!D1:E1)</f>
        <v>40</v>
      </c>
      <c r="E1" s="528"/>
      <c r="F1" s="85" t="s">
        <v>1</v>
      </c>
      <c r="G1" s="85"/>
      <c r="H1" s="87"/>
      <c r="K1" s="131" t="s">
        <v>98</v>
      </c>
      <c r="L1" s="132"/>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432" t="s">
        <v>3</v>
      </c>
      <c r="DS1" s="433"/>
      <c r="DT1" s="433"/>
      <c r="DU1" s="433"/>
      <c r="DV1" s="433"/>
      <c r="DW1" s="433"/>
      <c r="DX1" s="433"/>
      <c r="DY1" s="434"/>
      <c r="DZ1" s="432" t="s">
        <v>4</v>
      </c>
      <c r="EA1" s="433"/>
      <c r="EB1" s="433"/>
      <c r="EC1" s="433"/>
      <c r="ED1" s="433"/>
      <c r="EE1" s="434"/>
      <c r="EF1" s="432" t="s">
        <v>5</v>
      </c>
      <c r="EG1" s="433"/>
      <c r="EH1" s="433"/>
      <c r="EI1" s="433"/>
      <c r="EJ1" s="433"/>
      <c r="EK1" s="434"/>
      <c r="EL1" s="610" t="s">
        <v>99</v>
      </c>
      <c r="EM1" s="611"/>
      <c r="EN1" s="611"/>
      <c r="EO1" s="611"/>
      <c r="EP1" s="611"/>
      <c r="EQ1" s="612"/>
    </row>
    <row r="2" spans="1:148" ht="18.75" customHeight="1">
      <c r="A2" s="77" t="s">
        <v>7</v>
      </c>
      <c r="C2" s="57"/>
      <c r="X2" s="58"/>
      <c r="AU2" s="486"/>
      <c r="AV2" s="487"/>
      <c r="AW2" s="487"/>
      <c r="AX2" s="487"/>
      <c r="AY2" s="487"/>
      <c r="AZ2" s="136"/>
      <c r="BA2" s="136"/>
      <c r="BB2" s="136"/>
      <c r="BC2" s="136"/>
      <c r="BD2" s="136"/>
      <c r="BE2" s="136"/>
      <c r="BF2" s="136"/>
      <c r="BG2" s="136"/>
      <c r="BH2" s="506" t="s">
        <v>100</v>
      </c>
      <c r="BI2" s="507"/>
      <c r="BJ2" s="507"/>
      <c r="BK2" s="507"/>
      <c r="BL2" s="508"/>
      <c r="BM2" s="488" t="str">
        <f>IF(業績評価ｼｰﾄ!BU2="","",業績評価ｼｰﾄ!BU2)</f>
        <v>EMB本部 第1EMBSOL部 開発第1課</v>
      </c>
      <c r="BN2" s="489"/>
      <c r="BO2" s="489"/>
      <c r="BP2" s="489"/>
      <c r="BQ2" s="489"/>
      <c r="BR2" s="489"/>
      <c r="BS2" s="489"/>
      <c r="BT2" s="489"/>
      <c r="BU2" s="489"/>
      <c r="BV2" s="489"/>
      <c r="BW2" s="489"/>
      <c r="BX2" s="489"/>
      <c r="BY2" s="489"/>
      <c r="BZ2" s="489"/>
      <c r="CA2" s="489"/>
      <c r="CB2" s="489"/>
      <c r="CC2" s="489"/>
      <c r="CD2" s="489"/>
      <c r="CE2" s="489"/>
      <c r="CF2" s="489"/>
      <c r="CG2" s="489"/>
      <c r="CH2" s="489"/>
      <c r="CI2" s="489"/>
      <c r="CJ2" s="489"/>
      <c r="CK2" s="489"/>
      <c r="CL2" s="489"/>
      <c r="CM2" s="489"/>
      <c r="CN2" s="489"/>
      <c r="CO2" s="489"/>
      <c r="CP2" s="489"/>
      <c r="CQ2" s="489"/>
      <c r="CR2" s="490"/>
      <c r="CS2" s="136"/>
      <c r="CT2" s="136"/>
      <c r="CU2" s="136"/>
      <c r="CV2" s="39"/>
      <c r="CW2" s="39"/>
      <c r="CX2" s="39"/>
      <c r="CY2" s="39"/>
      <c r="DA2" s="18"/>
      <c r="DB2" s="18"/>
      <c r="DC2" s="18"/>
      <c r="DD2" s="18"/>
      <c r="DE2" s="18"/>
      <c r="DF2" s="95"/>
      <c r="DG2" s="95"/>
      <c r="DH2" s="95"/>
      <c r="DI2" s="95"/>
      <c r="DJ2" s="95"/>
      <c r="DK2" s="95"/>
      <c r="DL2" s="95"/>
      <c r="DM2" s="95"/>
      <c r="DN2" s="95"/>
      <c r="DO2" s="95"/>
      <c r="DP2" s="95"/>
      <c r="DQ2" s="137"/>
      <c r="DR2" s="320" t="s">
        <v>14</v>
      </c>
      <c r="DS2" s="320"/>
      <c r="DT2" s="320"/>
      <c r="DU2" s="320"/>
      <c r="DV2" s="320"/>
      <c r="DW2" s="372" t="s">
        <v>15</v>
      </c>
      <c r="DX2" s="372"/>
      <c r="DY2" s="372"/>
      <c r="DZ2" s="613"/>
      <c r="EA2" s="614"/>
      <c r="EB2" s="614"/>
      <c r="EC2" s="614"/>
      <c r="ED2" s="614"/>
      <c r="EE2" s="615"/>
      <c r="EF2" s="312" t="s">
        <v>11</v>
      </c>
      <c r="EG2" s="312"/>
      <c r="EH2" s="312"/>
      <c r="EI2" s="312"/>
      <c r="EJ2" s="312"/>
      <c r="EK2" s="312"/>
      <c r="EL2" s="312" t="s">
        <v>11</v>
      </c>
      <c r="EM2" s="312"/>
      <c r="EN2" s="312"/>
      <c r="EO2" s="312"/>
      <c r="EP2" s="312"/>
      <c r="EQ2" s="312"/>
    </row>
    <row r="3" spans="1:148" ht="11.25" customHeight="1">
      <c r="B3" s="40" t="s">
        <v>101</v>
      </c>
      <c r="AU3" s="487"/>
      <c r="AV3" s="487"/>
      <c r="AW3" s="487"/>
      <c r="AX3" s="487"/>
      <c r="AY3" s="487"/>
      <c r="AZ3" s="136"/>
      <c r="BA3" s="136"/>
      <c r="BB3" s="136"/>
      <c r="BC3" s="136"/>
      <c r="BD3" s="136"/>
      <c r="BE3" s="136"/>
      <c r="BF3" s="136"/>
      <c r="BG3" s="136"/>
      <c r="BH3" s="509"/>
      <c r="BI3" s="510"/>
      <c r="BJ3" s="510"/>
      <c r="BK3" s="510"/>
      <c r="BL3" s="511"/>
      <c r="BM3" s="491"/>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3"/>
      <c r="CS3" s="136"/>
      <c r="CT3" s="136"/>
      <c r="CU3" s="136"/>
      <c r="CV3" s="39"/>
      <c r="CW3" s="39"/>
      <c r="CX3" s="39"/>
      <c r="CY3" s="39"/>
      <c r="DA3" s="18"/>
      <c r="DB3" s="18"/>
      <c r="DC3" s="18"/>
      <c r="DD3" s="18"/>
      <c r="DE3" s="18"/>
      <c r="DF3" s="95"/>
      <c r="DG3" s="95"/>
      <c r="DH3" s="95"/>
      <c r="DI3" s="95"/>
      <c r="DJ3" s="95"/>
      <c r="DK3" s="95"/>
      <c r="DL3" s="95"/>
      <c r="DM3" s="95"/>
      <c r="DN3" s="95"/>
      <c r="DO3" s="95"/>
      <c r="DP3" s="95"/>
      <c r="DQ3" s="137"/>
      <c r="DR3" s="320"/>
      <c r="DS3" s="320"/>
      <c r="DT3" s="320"/>
      <c r="DU3" s="320"/>
      <c r="DV3" s="320"/>
      <c r="DW3" s="373"/>
      <c r="DX3" s="373"/>
      <c r="DY3" s="373"/>
      <c r="DZ3" s="616"/>
      <c r="EA3" s="617"/>
      <c r="EB3" s="617"/>
      <c r="EC3" s="617"/>
      <c r="ED3" s="617"/>
      <c r="EE3" s="618"/>
      <c r="EF3" s="313"/>
      <c r="EG3" s="313"/>
      <c r="EH3" s="313"/>
      <c r="EI3" s="313"/>
      <c r="EJ3" s="313"/>
      <c r="EK3" s="313"/>
      <c r="EL3" s="313"/>
      <c r="EM3" s="313"/>
      <c r="EN3" s="313"/>
      <c r="EO3" s="313"/>
      <c r="EP3" s="313"/>
      <c r="EQ3" s="313"/>
    </row>
    <row r="4" spans="1:148" ht="15" customHeight="1">
      <c r="B4" s="484" t="s">
        <v>42</v>
      </c>
      <c r="C4" s="485"/>
      <c r="D4" s="485"/>
      <c r="E4" s="193" t="s">
        <v>102</v>
      </c>
      <c r="F4" s="193"/>
      <c r="G4" s="193"/>
      <c r="H4" s="193"/>
      <c r="I4" s="193"/>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93"/>
      <c r="AI4" s="193"/>
      <c r="AJ4" s="193"/>
      <c r="AK4" s="193"/>
      <c r="AL4" s="193"/>
      <c r="AM4" s="193"/>
      <c r="AN4" s="193"/>
      <c r="AO4" s="193"/>
      <c r="AP4" s="193"/>
      <c r="AQ4" s="193"/>
      <c r="AR4" s="193"/>
      <c r="AS4" s="193"/>
      <c r="AT4" s="193"/>
      <c r="AU4" s="193"/>
      <c r="AV4" s="193"/>
      <c r="AW4" s="193"/>
      <c r="AX4" s="193"/>
      <c r="AY4" s="193"/>
      <c r="AZ4" s="193"/>
      <c r="BA4" s="193"/>
      <c r="BB4" s="193"/>
      <c r="BC4" s="193"/>
      <c r="BD4" s="135"/>
      <c r="BE4" s="135"/>
      <c r="BF4" s="135"/>
      <c r="BG4" s="135"/>
      <c r="BH4" s="506" t="s">
        <v>103</v>
      </c>
      <c r="BI4" s="507"/>
      <c r="BJ4" s="507"/>
      <c r="BK4" s="507"/>
      <c r="BL4" s="508"/>
      <c r="BM4" s="494" t="str">
        <f>IF(業績評価ｼｰﾄ!BU4="","",業績評価ｼｰﾄ!BU4)</f>
        <v>中村　洋太</v>
      </c>
      <c r="BN4" s="495"/>
      <c r="BO4" s="495"/>
      <c r="BP4" s="495"/>
      <c r="BQ4" s="495"/>
      <c r="BR4" s="495"/>
      <c r="BS4" s="495"/>
      <c r="BT4" s="495"/>
      <c r="BU4" s="495"/>
      <c r="BV4" s="495"/>
      <c r="BW4" s="495"/>
      <c r="BX4" s="495"/>
      <c r="BY4" s="496"/>
      <c r="BZ4" s="500" t="s">
        <v>13</v>
      </c>
      <c r="CA4" s="501"/>
      <c r="CB4" s="501"/>
      <c r="CC4" s="501"/>
      <c r="CD4" s="502"/>
      <c r="CE4" s="488">
        <f>IF(業績評価ｼｰﾄ!CM4="","",業績評価ｼｰﾄ!CM4)</f>
        <v>290863</v>
      </c>
      <c r="CF4" s="489"/>
      <c r="CG4" s="489"/>
      <c r="CH4" s="489"/>
      <c r="CI4" s="489"/>
      <c r="CJ4" s="489"/>
      <c r="CK4" s="489"/>
      <c r="CL4" s="489"/>
      <c r="CM4" s="489"/>
      <c r="CN4" s="489"/>
      <c r="CO4" s="489"/>
      <c r="CP4" s="489"/>
      <c r="CQ4" s="489"/>
      <c r="CR4" s="490"/>
      <c r="CS4" s="88"/>
      <c r="CT4" s="88"/>
      <c r="CU4" s="88"/>
      <c r="CV4" s="39"/>
      <c r="CW4" s="129"/>
      <c r="CX4" s="129"/>
      <c r="CY4" s="129"/>
      <c r="DA4" s="18"/>
      <c r="DB4" s="18"/>
      <c r="DC4" s="18"/>
      <c r="DD4" s="18"/>
      <c r="DE4" s="18"/>
      <c r="DF4" s="95"/>
      <c r="DG4" s="95"/>
      <c r="DH4" s="95"/>
      <c r="DI4" s="95"/>
      <c r="DJ4" s="95"/>
      <c r="DK4" s="95"/>
      <c r="DL4" s="95"/>
      <c r="DM4" s="95"/>
      <c r="DN4" s="95"/>
      <c r="DO4" s="95"/>
      <c r="DP4" s="95"/>
      <c r="DQ4" s="137"/>
      <c r="DR4" s="320"/>
      <c r="DS4" s="320"/>
      <c r="DT4" s="320"/>
      <c r="DU4" s="320"/>
      <c r="DV4" s="320"/>
      <c r="DW4" s="371" t="s">
        <v>18</v>
      </c>
      <c r="DX4" s="371"/>
      <c r="DY4" s="371"/>
      <c r="DZ4" s="619"/>
      <c r="EA4" s="620"/>
      <c r="EB4" s="620"/>
      <c r="EC4" s="620"/>
      <c r="ED4" s="620"/>
      <c r="EE4" s="621"/>
      <c r="EF4" s="343" t="s">
        <v>11</v>
      </c>
      <c r="EG4" s="343"/>
      <c r="EH4" s="343"/>
      <c r="EI4" s="343"/>
      <c r="EJ4" s="343"/>
      <c r="EK4" s="343"/>
      <c r="EL4" s="343" t="s">
        <v>19</v>
      </c>
      <c r="EM4" s="343"/>
      <c r="EN4" s="343"/>
      <c r="EO4" s="343"/>
      <c r="EP4" s="343"/>
      <c r="EQ4" s="343"/>
    </row>
    <row r="5" spans="1:148" ht="15" customHeight="1">
      <c r="B5" s="481">
        <v>5</v>
      </c>
      <c r="C5" s="482"/>
      <c r="D5" s="483"/>
      <c r="E5" s="529" t="s">
        <v>104</v>
      </c>
      <c r="F5" s="529"/>
      <c r="G5" s="529"/>
      <c r="H5" s="529"/>
      <c r="I5" s="529"/>
      <c r="J5" s="529"/>
      <c r="K5" s="529"/>
      <c r="L5" s="529"/>
      <c r="M5" s="529"/>
      <c r="N5" s="529"/>
      <c r="O5" s="529"/>
      <c r="P5" s="529"/>
      <c r="Q5" s="529"/>
      <c r="R5" s="529"/>
      <c r="S5" s="529"/>
      <c r="T5" s="529"/>
      <c r="U5" s="529"/>
      <c r="V5" s="529"/>
      <c r="W5" s="529"/>
      <c r="X5" s="529"/>
      <c r="Y5" s="529"/>
      <c r="Z5" s="529"/>
      <c r="AA5" s="529"/>
      <c r="AB5" s="529"/>
      <c r="AC5" s="529"/>
      <c r="AD5" s="529"/>
      <c r="AE5" s="529"/>
      <c r="AF5" s="529"/>
      <c r="AG5" s="529"/>
      <c r="AH5" s="529"/>
      <c r="AI5" s="529"/>
      <c r="AJ5" s="529"/>
      <c r="AK5" s="529"/>
      <c r="AL5" s="529"/>
      <c r="AM5" s="529"/>
      <c r="AN5" s="529"/>
      <c r="AO5" s="529"/>
      <c r="AP5" s="529"/>
      <c r="AQ5" s="529"/>
      <c r="AR5" s="529"/>
      <c r="AS5" s="529"/>
      <c r="AT5" s="529"/>
      <c r="AU5" s="529"/>
      <c r="AV5" s="529"/>
      <c r="AW5" s="529"/>
      <c r="AX5" s="529"/>
      <c r="AY5" s="529"/>
      <c r="AZ5" s="529"/>
      <c r="BA5" s="529"/>
      <c r="BB5" s="529"/>
      <c r="BC5" s="529"/>
      <c r="BD5" s="135"/>
      <c r="BE5" s="135"/>
      <c r="BF5" s="135"/>
      <c r="BG5" s="135"/>
      <c r="BH5" s="509"/>
      <c r="BI5" s="510"/>
      <c r="BJ5" s="510"/>
      <c r="BK5" s="510"/>
      <c r="BL5" s="511"/>
      <c r="BM5" s="497"/>
      <c r="BN5" s="498"/>
      <c r="BO5" s="498"/>
      <c r="BP5" s="498"/>
      <c r="BQ5" s="498"/>
      <c r="BR5" s="498"/>
      <c r="BS5" s="498"/>
      <c r="BT5" s="498"/>
      <c r="BU5" s="498"/>
      <c r="BV5" s="498"/>
      <c r="BW5" s="498"/>
      <c r="BX5" s="498"/>
      <c r="BY5" s="499"/>
      <c r="BZ5" s="503"/>
      <c r="CA5" s="504"/>
      <c r="CB5" s="504"/>
      <c r="CC5" s="504"/>
      <c r="CD5" s="505"/>
      <c r="CE5" s="491"/>
      <c r="CF5" s="492"/>
      <c r="CG5" s="492"/>
      <c r="CH5" s="492"/>
      <c r="CI5" s="492"/>
      <c r="CJ5" s="492"/>
      <c r="CK5" s="492"/>
      <c r="CL5" s="492"/>
      <c r="CM5" s="492"/>
      <c r="CN5" s="492"/>
      <c r="CO5" s="492"/>
      <c r="CP5" s="492"/>
      <c r="CQ5" s="492"/>
      <c r="CR5" s="493"/>
      <c r="CS5" s="88"/>
      <c r="CT5" s="88"/>
      <c r="CU5" s="88"/>
      <c r="CV5" s="39"/>
      <c r="CW5" s="130"/>
      <c r="CX5" s="129"/>
      <c r="CY5" s="129"/>
      <c r="DA5" s="18"/>
      <c r="DB5" s="18"/>
      <c r="DC5" s="18"/>
      <c r="DD5" s="18"/>
      <c r="DE5" s="18"/>
      <c r="DF5" s="95"/>
      <c r="DG5" s="95"/>
      <c r="DH5" s="95"/>
      <c r="DI5" s="95"/>
      <c r="DJ5" s="95"/>
      <c r="DK5" s="95"/>
      <c r="DL5" s="95"/>
      <c r="DM5" s="95"/>
      <c r="DN5" s="95"/>
      <c r="DO5" s="95"/>
      <c r="DP5" s="95"/>
      <c r="DQ5" s="137"/>
      <c r="DR5" s="320"/>
      <c r="DS5" s="320"/>
      <c r="DT5" s="320"/>
      <c r="DU5" s="320"/>
      <c r="DV5" s="320"/>
      <c r="DW5" s="372"/>
      <c r="DX5" s="372"/>
      <c r="DY5" s="372"/>
      <c r="DZ5" s="622"/>
      <c r="EA5" s="623"/>
      <c r="EB5" s="623"/>
      <c r="EC5" s="623"/>
      <c r="ED5" s="623"/>
      <c r="EE5" s="624"/>
      <c r="EF5" s="312"/>
      <c r="EG5" s="312"/>
      <c r="EH5" s="312"/>
      <c r="EI5" s="312"/>
      <c r="EJ5" s="312"/>
      <c r="EK5" s="312"/>
      <c r="EL5" s="312"/>
      <c r="EM5" s="312"/>
      <c r="EN5" s="312"/>
      <c r="EO5" s="312"/>
      <c r="EP5" s="312"/>
      <c r="EQ5" s="312"/>
    </row>
    <row r="6" spans="1:148" ht="15" customHeight="1">
      <c r="B6" s="481">
        <v>4</v>
      </c>
      <c r="C6" s="482"/>
      <c r="D6" s="483"/>
      <c r="E6" s="529" t="s">
        <v>105</v>
      </c>
      <c r="F6" s="529"/>
      <c r="G6" s="529"/>
      <c r="H6" s="529"/>
      <c r="I6" s="529"/>
      <c r="J6" s="529"/>
      <c r="K6" s="529"/>
      <c r="L6" s="529"/>
      <c r="M6" s="529"/>
      <c r="N6" s="529"/>
      <c r="O6" s="529"/>
      <c r="P6" s="529"/>
      <c r="Q6" s="529"/>
      <c r="R6" s="529"/>
      <c r="S6" s="529"/>
      <c r="T6" s="529"/>
      <c r="U6" s="529"/>
      <c r="V6" s="529"/>
      <c r="W6" s="529"/>
      <c r="X6" s="529"/>
      <c r="Y6" s="529"/>
      <c r="Z6" s="529"/>
      <c r="AA6" s="529"/>
      <c r="AB6" s="529"/>
      <c r="AC6" s="529"/>
      <c r="AD6" s="529"/>
      <c r="AE6" s="529"/>
      <c r="AF6" s="529"/>
      <c r="AG6" s="529"/>
      <c r="AH6" s="529"/>
      <c r="AI6" s="529"/>
      <c r="AJ6" s="529"/>
      <c r="AK6" s="529"/>
      <c r="AL6" s="529"/>
      <c r="AM6" s="529"/>
      <c r="AN6" s="529"/>
      <c r="AO6" s="529"/>
      <c r="AP6" s="529"/>
      <c r="AQ6" s="529"/>
      <c r="AR6" s="529"/>
      <c r="AS6" s="529"/>
      <c r="AT6" s="529"/>
      <c r="AU6" s="529"/>
      <c r="AV6" s="529"/>
      <c r="AW6" s="529"/>
      <c r="AX6" s="529"/>
      <c r="AY6" s="529"/>
      <c r="AZ6" s="529"/>
      <c r="BA6" s="529"/>
      <c r="BB6" s="529"/>
      <c r="BC6" s="529"/>
      <c r="BD6" s="88"/>
      <c r="BE6" s="88"/>
      <c r="BF6" s="88"/>
      <c r="BG6" s="88"/>
      <c r="BH6" s="506" t="s">
        <v>106</v>
      </c>
      <c r="BI6" s="507"/>
      <c r="BJ6" s="507"/>
      <c r="BK6" s="507"/>
      <c r="BL6" s="508"/>
      <c r="BM6" s="488" t="str">
        <f>IF(業績評価ｼｰﾄ!BU6="","",業績評価ｼｰﾄ!BU6)</f>
        <v>G4</v>
      </c>
      <c r="BN6" s="489"/>
      <c r="BO6" s="489"/>
      <c r="BP6" s="489"/>
      <c r="BQ6" s="489"/>
      <c r="BR6" s="489"/>
      <c r="BS6" s="489"/>
      <c r="BT6" s="489"/>
      <c r="BU6" s="489"/>
      <c r="BV6" s="489"/>
      <c r="BW6" s="489"/>
      <c r="BX6" s="489"/>
      <c r="BY6" s="490"/>
      <c r="BZ6" s="506" t="s">
        <v>107</v>
      </c>
      <c r="CA6" s="507"/>
      <c r="CB6" s="507"/>
      <c r="CC6" s="507"/>
      <c r="CD6" s="508"/>
      <c r="CE6" s="488" t="str">
        <f>IF(業績評価ｼｰﾄ!CM6="","",業績評価ｼｰﾄ!CM6)</f>
        <v>係長・TL</v>
      </c>
      <c r="CF6" s="489"/>
      <c r="CG6" s="489"/>
      <c r="CH6" s="489"/>
      <c r="CI6" s="489"/>
      <c r="CJ6" s="489"/>
      <c r="CK6" s="489"/>
      <c r="CL6" s="489"/>
      <c r="CM6" s="489"/>
      <c r="CN6" s="489"/>
      <c r="CO6" s="489"/>
      <c r="CP6" s="489"/>
      <c r="CQ6" s="489"/>
      <c r="CR6" s="490"/>
      <c r="CS6" s="88"/>
      <c r="CT6" s="88"/>
      <c r="CU6" s="88"/>
      <c r="CV6" s="39"/>
      <c r="CW6" s="129"/>
      <c r="CX6" s="129"/>
      <c r="CY6" s="129"/>
      <c r="DA6" s="18"/>
      <c r="DB6" s="18"/>
      <c r="DC6" s="18"/>
      <c r="DD6" s="18"/>
      <c r="DE6" s="18"/>
      <c r="DF6" s="95"/>
      <c r="DG6" s="95"/>
      <c r="DH6" s="95"/>
      <c r="DI6" s="95"/>
      <c r="DJ6" s="95"/>
      <c r="DK6" s="95"/>
      <c r="DL6" s="95"/>
      <c r="DM6" s="95"/>
      <c r="DN6" s="95"/>
      <c r="DO6" s="95"/>
      <c r="DP6" s="95"/>
      <c r="DQ6" s="138"/>
      <c r="DR6" s="320" t="s">
        <v>21</v>
      </c>
      <c r="DS6" s="320"/>
      <c r="DT6" s="320"/>
      <c r="DU6" s="320"/>
      <c r="DV6" s="320"/>
      <c r="DW6" s="372" t="s">
        <v>15</v>
      </c>
      <c r="DX6" s="372"/>
      <c r="DY6" s="372"/>
      <c r="DZ6" s="613"/>
      <c r="EA6" s="614"/>
      <c r="EB6" s="614"/>
      <c r="EC6" s="614"/>
      <c r="ED6" s="614"/>
      <c r="EE6" s="615"/>
      <c r="EF6" s="312" t="s">
        <v>11</v>
      </c>
      <c r="EG6" s="312"/>
      <c r="EH6" s="312"/>
      <c r="EI6" s="312"/>
      <c r="EJ6" s="312"/>
      <c r="EK6" s="312"/>
      <c r="EL6" s="312" t="s">
        <v>11</v>
      </c>
      <c r="EM6" s="312"/>
      <c r="EN6" s="312"/>
      <c r="EO6" s="312"/>
      <c r="EP6" s="312"/>
      <c r="EQ6" s="312"/>
    </row>
    <row r="7" spans="1:148" ht="15" customHeight="1">
      <c r="B7" s="481">
        <v>3</v>
      </c>
      <c r="C7" s="482"/>
      <c r="D7" s="482"/>
      <c r="E7" s="529" t="s">
        <v>108</v>
      </c>
      <c r="F7" s="529"/>
      <c r="G7" s="529"/>
      <c r="H7" s="529"/>
      <c r="I7" s="529"/>
      <c r="J7" s="529"/>
      <c r="K7" s="529"/>
      <c r="L7" s="529"/>
      <c r="M7" s="529"/>
      <c r="N7" s="529"/>
      <c r="O7" s="529"/>
      <c r="P7" s="529"/>
      <c r="Q7" s="529"/>
      <c r="R7" s="529"/>
      <c r="S7" s="529"/>
      <c r="T7" s="529"/>
      <c r="U7" s="529"/>
      <c r="V7" s="529"/>
      <c r="W7" s="529"/>
      <c r="X7" s="529"/>
      <c r="Y7" s="529"/>
      <c r="Z7" s="529"/>
      <c r="AA7" s="529"/>
      <c r="AB7" s="529"/>
      <c r="AC7" s="529"/>
      <c r="AD7" s="529"/>
      <c r="AE7" s="529"/>
      <c r="AF7" s="529"/>
      <c r="AG7" s="529"/>
      <c r="AH7" s="529"/>
      <c r="AI7" s="529"/>
      <c r="AJ7" s="529"/>
      <c r="AK7" s="529"/>
      <c r="AL7" s="529"/>
      <c r="AM7" s="529"/>
      <c r="AN7" s="529"/>
      <c r="AO7" s="529"/>
      <c r="AP7" s="529"/>
      <c r="AQ7" s="529"/>
      <c r="AR7" s="529"/>
      <c r="AS7" s="529"/>
      <c r="AT7" s="529"/>
      <c r="AU7" s="529"/>
      <c r="AV7" s="529"/>
      <c r="AW7" s="529"/>
      <c r="AX7" s="529"/>
      <c r="AY7" s="529"/>
      <c r="AZ7" s="529"/>
      <c r="BA7" s="529"/>
      <c r="BB7" s="529"/>
      <c r="BC7" s="529"/>
      <c r="BD7" s="88"/>
      <c r="BE7" s="88"/>
      <c r="BF7" s="88"/>
      <c r="BG7" s="88"/>
      <c r="BH7" s="509"/>
      <c r="BI7" s="510"/>
      <c r="BJ7" s="510"/>
      <c r="BK7" s="510"/>
      <c r="BL7" s="511"/>
      <c r="BM7" s="491"/>
      <c r="BN7" s="492"/>
      <c r="BO7" s="492"/>
      <c r="BP7" s="492"/>
      <c r="BQ7" s="492"/>
      <c r="BR7" s="492"/>
      <c r="BS7" s="492"/>
      <c r="BT7" s="492"/>
      <c r="BU7" s="492"/>
      <c r="BV7" s="492"/>
      <c r="BW7" s="492"/>
      <c r="BX7" s="492"/>
      <c r="BY7" s="493"/>
      <c r="BZ7" s="509"/>
      <c r="CA7" s="510"/>
      <c r="CB7" s="510"/>
      <c r="CC7" s="510"/>
      <c r="CD7" s="511"/>
      <c r="CE7" s="491"/>
      <c r="CF7" s="492"/>
      <c r="CG7" s="492"/>
      <c r="CH7" s="492"/>
      <c r="CI7" s="492"/>
      <c r="CJ7" s="492"/>
      <c r="CK7" s="492"/>
      <c r="CL7" s="492"/>
      <c r="CM7" s="492"/>
      <c r="CN7" s="492"/>
      <c r="CO7" s="492"/>
      <c r="CP7" s="492"/>
      <c r="CQ7" s="492"/>
      <c r="CR7" s="493"/>
      <c r="CS7" s="88"/>
      <c r="CT7" s="88"/>
      <c r="CU7" s="88"/>
      <c r="CV7" s="39"/>
      <c r="CW7" s="129"/>
      <c r="CX7" s="129"/>
      <c r="CY7" s="129"/>
      <c r="DA7" s="18"/>
      <c r="DB7" s="18"/>
      <c r="DC7" s="18"/>
      <c r="DD7" s="18"/>
      <c r="DE7" s="18"/>
      <c r="DF7" s="95"/>
      <c r="DG7" s="95"/>
      <c r="DH7" s="95"/>
      <c r="DI7" s="95"/>
      <c r="DJ7" s="95"/>
      <c r="DK7" s="95"/>
      <c r="DL7" s="95"/>
      <c r="DM7" s="95"/>
      <c r="DN7" s="95"/>
      <c r="DO7" s="95"/>
      <c r="DP7" s="95"/>
      <c r="DQ7" s="138"/>
      <c r="DR7" s="320"/>
      <c r="DS7" s="320"/>
      <c r="DT7" s="320"/>
      <c r="DU7" s="320"/>
      <c r="DV7" s="320"/>
      <c r="DW7" s="373"/>
      <c r="DX7" s="373"/>
      <c r="DY7" s="373"/>
      <c r="DZ7" s="616"/>
      <c r="EA7" s="617"/>
      <c r="EB7" s="617"/>
      <c r="EC7" s="617"/>
      <c r="ED7" s="617"/>
      <c r="EE7" s="618"/>
      <c r="EF7" s="313"/>
      <c r="EG7" s="313"/>
      <c r="EH7" s="313"/>
      <c r="EI7" s="313"/>
      <c r="EJ7" s="313"/>
      <c r="EK7" s="313"/>
      <c r="EL7" s="313"/>
      <c r="EM7" s="313"/>
      <c r="EN7" s="313"/>
      <c r="EO7" s="313"/>
      <c r="EP7" s="313"/>
      <c r="EQ7" s="313"/>
    </row>
    <row r="8" spans="1:148" ht="15" customHeight="1">
      <c r="B8" s="481">
        <v>2</v>
      </c>
      <c r="C8" s="482"/>
      <c r="D8" s="483"/>
      <c r="E8" s="529" t="s">
        <v>109</v>
      </c>
      <c r="F8" s="529"/>
      <c r="G8" s="529"/>
      <c r="H8" s="529"/>
      <c r="I8" s="529"/>
      <c r="J8" s="529"/>
      <c r="K8" s="529"/>
      <c r="L8" s="529"/>
      <c r="M8" s="529"/>
      <c r="N8" s="529"/>
      <c r="O8" s="529"/>
      <c r="P8" s="529"/>
      <c r="Q8" s="529"/>
      <c r="R8" s="529"/>
      <c r="S8" s="529"/>
      <c r="T8" s="529"/>
      <c r="U8" s="529"/>
      <c r="V8" s="529"/>
      <c r="W8" s="529"/>
      <c r="X8" s="529"/>
      <c r="Y8" s="529"/>
      <c r="Z8" s="529"/>
      <c r="AA8" s="529"/>
      <c r="AB8" s="529"/>
      <c r="AC8" s="529"/>
      <c r="AD8" s="529"/>
      <c r="AE8" s="529"/>
      <c r="AF8" s="529"/>
      <c r="AG8" s="529"/>
      <c r="AH8" s="529"/>
      <c r="AI8" s="529"/>
      <c r="AJ8" s="529"/>
      <c r="AK8" s="529"/>
      <c r="AL8" s="529"/>
      <c r="AM8" s="529"/>
      <c r="AN8" s="529"/>
      <c r="AO8" s="529"/>
      <c r="AP8" s="529"/>
      <c r="AQ8" s="529"/>
      <c r="AR8" s="529"/>
      <c r="AS8" s="529"/>
      <c r="AT8" s="529"/>
      <c r="AU8" s="529"/>
      <c r="AV8" s="529"/>
      <c r="AW8" s="529"/>
      <c r="AX8" s="529"/>
      <c r="AY8" s="529"/>
      <c r="AZ8" s="529"/>
      <c r="BA8" s="529"/>
      <c r="BB8" s="529"/>
      <c r="BC8" s="529"/>
      <c r="BI8" s="14"/>
      <c r="DA8" s="18"/>
      <c r="DB8" s="18"/>
      <c r="DC8" s="18"/>
      <c r="DD8" s="18"/>
      <c r="DE8" s="18"/>
      <c r="DF8" s="95"/>
      <c r="DG8" s="95"/>
      <c r="DH8" s="95"/>
      <c r="DI8" s="95"/>
      <c r="DJ8" s="95"/>
      <c r="DK8" s="95"/>
      <c r="DL8" s="95"/>
      <c r="DM8" s="95"/>
      <c r="DN8" s="95"/>
      <c r="DO8" s="95"/>
      <c r="DP8" s="95"/>
      <c r="DQ8" s="138"/>
      <c r="DR8" s="320"/>
      <c r="DS8" s="320"/>
      <c r="DT8" s="320"/>
      <c r="DU8" s="320"/>
      <c r="DV8" s="320"/>
      <c r="DW8" s="371" t="s">
        <v>18</v>
      </c>
      <c r="DX8" s="371"/>
      <c r="DY8" s="371"/>
      <c r="DZ8" s="626"/>
      <c r="EA8" s="626"/>
      <c r="EB8" s="626"/>
      <c r="EC8" s="626"/>
      <c r="ED8" s="626"/>
      <c r="EE8" s="626"/>
      <c r="EF8" s="343" t="s">
        <v>11</v>
      </c>
      <c r="EG8" s="343"/>
      <c r="EH8" s="343"/>
      <c r="EI8" s="343"/>
      <c r="EJ8" s="343"/>
      <c r="EK8" s="343"/>
      <c r="EL8" s="343" t="s">
        <v>19</v>
      </c>
      <c r="EM8" s="343"/>
      <c r="EN8" s="343"/>
      <c r="EO8" s="343"/>
      <c r="EP8" s="343"/>
      <c r="EQ8" s="343"/>
    </row>
    <row r="9" spans="1:148" ht="15" customHeight="1">
      <c r="B9" s="481">
        <v>1</v>
      </c>
      <c r="C9" s="482"/>
      <c r="D9" s="483"/>
      <c r="E9" s="529" t="s">
        <v>110</v>
      </c>
      <c r="F9" s="529"/>
      <c r="G9" s="529"/>
      <c r="H9" s="529"/>
      <c r="I9" s="529"/>
      <c r="J9" s="529"/>
      <c r="K9" s="529"/>
      <c r="L9" s="529"/>
      <c r="M9" s="529"/>
      <c r="N9" s="529"/>
      <c r="O9" s="529"/>
      <c r="P9" s="529"/>
      <c r="Q9" s="529"/>
      <c r="R9" s="529"/>
      <c r="S9" s="529"/>
      <c r="T9" s="529"/>
      <c r="U9" s="529"/>
      <c r="V9" s="529"/>
      <c r="W9" s="529"/>
      <c r="X9" s="529"/>
      <c r="Y9" s="529"/>
      <c r="Z9" s="529"/>
      <c r="AA9" s="529"/>
      <c r="AB9" s="529"/>
      <c r="AC9" s="529"/>
      <c r="AD9" s="529"/>
      <c r="AE9" s="529"/>
      <c r="AF9" s="529"/>
      <c r="AG9" s="529"/>
      <c r="AH9" s="529"/>
      <c r="AI9" s="529"/>
      <c r="AJ9" s="529"/>
      <c r="AK9" s="529"/>
      <c r="AL9" s="529"/>
      <c r="AM9" s="529"/>
      <c r="AN9" s="529"/>
      <c r="AO9" s="529"/>
      <c r="AP9" s="529"/>
      <c r="AQ9" s="529"/>
      <c r="AR9" s="529"/>
      <c r="AS9" s="529"/>
      <c r="AT9" s="529"/>
      <c r="AU9" s="529"/>
      <c r="AV9" s="529"/>
      <c r="AW9" s="529"/>
      <c r="AX9" s="529"/>
      <c r="AY9" s="529"/>
      <c r="AZ9" s="529"/>
      <c r="BA9" s="529"/>
      <c r="BB9" s="529"/>
      <c r="BC9" s="529"/>
      <c r="DA9" s="18"/>
      <c r="DB9" s="18"/>
      <c r="DC9" s="18"/>
      <c r="DD9" s="18"/>
      <c r="DE9" s="18"/>
      <c r="DF9" s="95"/>
      <c r="DG9" s="95"/>
      <c r="DH9" s="95"/>
      <c r="DI9" s="95"/>
      <c r="DJ9" s="95"/>
      <c r="DK9" s="95"/>
      <c r="DL9" s="95"/>
      <c r="DM9" s="95"/>
      <c r="DN9" s="95"/>
      <c r="DO9" s="95"/>
      <c r="DP9" s="95"/>
      <c r="DQ9" s="138"/>
      <c r="DR9" s="320"/>
      <c r="DS9" s="320"/>
      <c r="DT9" s="320"/>
      <c r="DU9" s="320"/>
      <c r="DV9" s="320"/>
      <c r="DW9" s="372"/>
      <c r="DX9" s="372"/>
      <c r="DY9" s="372"/>
      <c r="DZ9" s="627"/>
      <c r="EA9" s="627"/>
      <c r="EB9" s="627"/>
      <c r="EC9" s="627"/>
      <c r="ED9" s="627"/>
      <c r="EE9" s="627"/>
      <c r="EF9" s="312"/>
      <c r="EG9" s="312"/>
      <c r="EH9" s="312"/>
      <c r="EI9" s="312"/>
      <c r="EJ9" s="312"/>
      <c r="EK9" s="312"/>
      <c r="EL9" s="312"/>
      <c r="EM9" s="312"/>
      <c r="EN9" s="312"/>
      <c r="EO9" s="312"/>
      <c r="EP9" s="312"/>
      <c r="EQ9" s="312"/>
    </row>
    <row r="10" spans="1:148" ht="15" customHeight="1">
      <c r="AU10" s="20"/>
      <c r="AW10" s="14"/>
      <c r="BM10" s="40" t="s">
        <v>111</v>
      </c>
      <c r="DA10" s="80"/>
      <c r="DW10" s="513" t="s">
        <v>112</v>
      </c>
      <c r="DX10" s="513"/>
      <c r="DY10" s="513"/>
      <c r="DZ10" s="513"/>
      <c r="EA10" s="513"/>
      <c r="EB10" s="513"/>
      <c r="EC10" s="513"/>
      <c r="ED10" s="513"/>
      <c r="EE10" s="513"/>
      <c r="EF10" s="513"/>
      <c r="EG10" s="513"/>
      <c r="EH10" s="513"/>
      <c r="EI10" s="513"/>
      <c r="EJ10" s="513"/>
      <c r="EK10" s="513"/>
      <c r="EL10" s="513"/>
      <c r="EM10" s="513"/>
      <c r="EN10" s="513"/>
      <c r="EO10" s="513"/>
      <c r="EP10" s="513"/>
      <c r="EQ10" s="513"/>
    </row>
    <row r="11" spans="1:148" ht="15" customHeight="1">
      <c r="A11" s="59"/>
      <c r="B11" s="60"/>
      <c r="C11" s="60"/>
      <c r="D11" s="60"/>
      <c r="E11" s="60"/>
      <c r="F11" s="60"/>
      <c r="G11" s="533" t="s">
        <v>113</v>
      </c>
      <c r="H11" s="253"/>
      <c r="I11" s="253"/>
      <c r="J11" s="253"/>
      <c r="K11" s="253"/>
      <c r="L11" s="253"/>
      <c r="M11" s="253"/>
      <c r="N11" s="253"/>
      <c r="O11" s="253"/>
      <c r="P11" s="253"/>
      <c r="Q11" s="248"/>
      <c r="R11" s="247" t="s">
        <v>114</v>
      </c>
      <c r="S11" s="253"/>
      <c r="T11" s="253"/>
      <c r="U11" s="253"/>
      <c r="V11" s="253"/>
      <c r="W11" s="253"/>
      <c r="X11" s="253"/>
      <c r="Y11" s="253"/>
      <c r="Z11" s="253"/>
      <c r="AA11" s="253"/>
      <c r="AB11" s="253"/>
      <c r="AC11" s="253"/>
      <c r="AD11" s="253"/>
      <c r="AE11" s="253"/>
      <c r="AF11" s="253"/>
      <c r="AG11" s="253"/>
      <c r="AH11" s="253"/>
      <c r="AI11" s="253"/>
      <c r="AJ11" s="253"/>
      <c r="AK11" s="253"/>
      <c r="AL11" s="253"/>
      <c r="AM11" s="253"/>
      <c r="AN11" s="253"/>
      <c r="AO11" s="253"/>
      <c r="AP11" s="253"/>
      <c r="AQ11" s="253"/>
      <c r="AR11" s="253"/>
      <c r="AS11" s="253"/>
      <c r="AT11" s="253"/>
      <c r="AU11" s="253"/>
      <c r="AV11" s="253"/>
      <c r="AW11" s="253"/>
      <c r="AX11" s="253"/>
      <c r="AY11" s="253"/>
      <c r="AZ11" s="253"/>
      <c r="BA11" s="253"/>
      <c r="BB11" s="253"/>
      <c r="BC11" s="253"/>
      <c r="BD11" s="253"/>
      <c r="BE11" s="253"/>
      <c r="BF11" s="253"/>
      <c r="BG11" s="253"/>
      <c r="BH11" s="248"/>
      <c r="BI11" s="420" t="s">
        <v>115</v>
      </c>
      <c r="BJ11" s="534"/>
      <c r="BK11" s="534"/>
      <c r="BL11" s="534"/>
      <c r="BM11" s="534"/>
      <c r="BN11" s="534"/>
      <c r="BO11" s="534"/>
      <c r="BP11" s="421"/>
      <c r="BQ11" s="512" t="s">
        <v>116</v>
      </c>
      <c r="BR11" s="513"/>
      <c r="BS11" s="513"/>
      <c r="BT11" s="513"/>
      <c r="BU11" s="513"/>
      <c r="BV11" s="513"/>
      <c r="BW11" s="513"/>
      <c r="BX11" s="513"/>
      <c r="BY11" s="513"/>
      <c r="BZ11" s="513"/>
      <c r="CA11" s="513"/>
      <c r="CB11" s="513"/>
      <c r="CC11" s="513"/>
      <c r="CD11" s="513"/>
      <c r="CE11" s="513"/>
      <c r="CF11" s="513"/>
      <c r="CG11" s="513"/>
      <c r="CH11" s="513"/>
      <c r="CI11" s="513"/>
      <c r="CJ11" s="513"/>
      <c r="CK11" s="513"/>
      <c r="CL11" s="513"/>
      <c r="CM11" s="513"/>
      <c r="CN11" s="513"/>
      <c r="CO11" s="513"/>
      <c r="CP11" s="513"/>
      <c r="CQ11" s="513"/>
      <c r="CR11" s="513"/>
      <c r="CS11" s="513"/>
      <c r="CT11" s="513"/>
      <c r="CU11" s="513"/>
      <c r="CV11" s="513"/>
      <c r="CW11" s="513"/>
      <c r="CX11" s="513"/>
      <c r="CY11" s="513"/>
      <c r="CZ11" s="513"/>
      <c r="DA11" s="513"/>
      <c r="DB11" s="513"/>
      <c r="DC11" s="513"/>
      <c r="DD11" s="514"/>
      <c r="DE11" s="512" t="s">
        <v>117</v>
      </c>
      <c r="DF11" s="513"/>
      <c r="DG11" s="513"/>
      <c r="DH11" s="513"/>
      <c r="DI11" s="513"/>
      <c r="DJ11" s="513"/>
      <c r="DK11" s="513"/>
      <c r="DL11" s="513"/>
      <c r="DM11" s="513"/>
      <c r="DN11" s="513"/>
      <c r="DO11" s="513"/>
      <c r="DP11" s="513"/>
      <c r="DQ11" s="513"/>
      <c r="DR11" s="513"/>
      <c r="DS11" s="513"/>
      <c r="DT11" s="513"/>
      <c r="DU11" s="513"/>
      <c r="DV11" s="513"/>
      <c r="DW11" s="513"/>
      <c r="DX11" s="513"/>
      <c r="DY11" s="513"/>
      <c r="DZ11" s="513"/>
      <c r="EA11" s="513"/>
      <c r="EB11" s="513"/>
      <c r="EC11" s="513"/>
      <c r="ED11" s="513"/>
      <c r="EE11" s="513"/>
      <c r="EF11" s="513"/>
      <c r="EG11" s="513"/>
      <c r="EH11" s="513"/>
      <c r="EI11" s="513"/>
      <c r="EJ11" s="513"/>
      <c r="EK11" s="513"/>
      <c r="EL11" s="513"/>
      <c r="EM11" s="513"/>
      <c r="EN11" s="513"/>
      <c r="EO11" s="513"/>
      <c r="EP11" s="513"/>
      <c r="EQ11" s="513"/>
      <c r="ER11" s="514"/>
    </row>
    <row r="12" spans="1:148" ht="15" customHeight="1" thickBot="1">
      <c r="A12" s="61"/>
      <c r="G12" s="249"/>
      <c r="H12" s="254"/>
      <c r="I12" s="254"/>
      <c r="J12" s="254"/>
      <c r="K12" s="254"/>
      <c r="L12" s="254"/>
      <c r="M12" s="254"/>
      <c r="N12" s="254"/>
      <c r="O12" s="254"/>
      <c r="P12" s="254"/>
      <c r="Q12" s="250"/>
      <c r="R12" s="249"/>
      <c r="S12" s="254"/>
      <c r="T12" s="254"/>
      <c r="U12" s="254"/>
      <c r="V12" s="254"/>
      <c r="W12" s="254"/>
      <c r="X12" s="254"/>
      <c r="Y12" s="254"/>
      <c r="Z12" s="254"/>
      <c r="AA12" s="254"/>
      <c r="AB12" s="254"/>
      <c r="AC12" s="254"/>
      <c r="AD12" s="254"/>
      <c r="AE12" s="254"/>
      <c r="AF12" s="254"/>
      <c r="AG12" s="254"/>
      <c r="AH12" s="254"/>
      <c r="AI12" s="254"/>
      <c r="AJ12" s="254"/>
      <c r="AK12" s="254"/>
      <c r="AL12" s="254"/>
      <c r="AM12" s="254"/>
      <c r="AN12" s="254"/>
      <c r="AO12" s="254"/>
      <c r="AP12" s="254"/>
      <c r="AQ12" s="254"/>
      <c r="AR12" s="254"/>
      <c r="AS12" s="254"/>
      <c r="AT12" s="254"/>
      <c r="AU12" s="254"/>
      <c r="AV12" s="254"/>
      <c r="AW12" s="254"/>
      <c r="AX12" s="254"/>
      <c r="AY12" s="254"/>
      <c r="AZ12" s="254"/>
      <c r="BA12" s="254"/>
      <c r="BB12" s="254"/>
      <c r="BC12" s="254"/>
      <c r="BD12" s="254"/>
      <c r="BE12" s="254"/>
      <c r="BF12" s="254"/>
      <c r="BG12" s="254"/>
      <c r="BH12" s="250"/>
      <c r="BI12" s="424"/>
      <c r="BJ12" s="535"/>
      <c r="BK12" s="535"/>
      <c r="BL12" s="535"/>
      <c r="BM12" s="535"/>
      <c r="BN12" s="535"/>
      <c r="BO12" s="535"/>
      <c r="BP12" s="425"/>
      <c r="BQ12" s="446" t="s">
        <v>118</v>
      </c>
      <c r="BR12" s="447"/>
      <c r="BS12" s="447"/>
      <c r="BT12" s="447"/>
      <c r="BU12" s="520"/>
      <c r="BV12" s="520"/>
      <c r="BW12" s="520"/>
      <c r="BX12" s="520"/>
      <c r="BY12" s="520"/>
      <c r="BZ12" s="520"/>
      <c r="CA12" s="520"/>
      <c r="CB12" s="520"/>
      <c r="CC12" s="520"/>
      <c r="CD12" s="520"/>
      <c r="CE12" s="520"/>
      <c r="CF12" s="521"/>
      <c r="CG12" s="314" t="s">
        <v>119</v>
      </c>
      <c r="CH12" s="315"/>
      <c r="CI12" s="315"/>
      <c r="CJ12" s="315"/>
      <c r="CK12" s="536"/>
      <c r="CL12" s="536"/>
      <c r="CM12" s="536"/>
      <c r="CN12" s="536"/>
      <c r="CO12" s="536"/>
      <c r="CP12" s="536"/>
      <c r="CQ12" s="536"/>
      <c r="CR12" s="536"/>
      <c r="CS12" s="536"/>
      <c r="CT12" s="536"/>
      <c r="CU12" s="536"/>
      <c r="CV12" s="537"/>
      <c r="CW12" s="314" t="s">
        <v>120</v>
      </c>
      <c r="CX12" s="315"/>
      <c r="CY12" s="315"/>
      <c r="CZ12" s="315"/>
      <c r="DA12" s="536"/>
      <c r="DB12" s="536"/>
      <c r="DC12" s="536"/>
      <c r="DD12" s="537"/>
      <c r="DE12" s="446" t="s">
        <v>118</v>
      </c>
      <c r="DF12" s="447"/>
      <c r="DG12" s="447"/>
      <c r="DH12" s="447"/>
      <c r="DI12" s="520"/>
      <c r="DJ12" s="520"/>
      <c r="DK12" s="520"/>
      <c r="DL12" s="520"/>
      <c r="DM12" s="520"/>
      <c r="DN12" s="520"/>
      <c r="DO12" s="520"/>
      <c r="DP12" s="520"/>
      <c r="DQ12" s="520"/>
      <c r="DR12" s="520"/>
      <c r="DS12" s="520"/>
      <c r="DT12" s="521"/>
      <c r="DU12" s="314" t="s">
        <v>119</v>
      </c>
      <c r="DV12" s="315"/>
      <c r="DW12" s="315"/>
      <c r="DX12" s="315"/>
      <c r="DY12" s="536"/>
      <c r="DZ12" s="536"/>
      <c r="EA12" s="536"/>
      <c r="EB12" s="536"/>
      <c r="EC12" s="536"/>
      <c r="ED12" s="536"/>
      <c r="EE12" s="536"/>
      <c r="EF12" s="536"/>
      <c r="EG12" s="536"/>
      <c r="EH12" s="536"/>
      <c r="EI12" s="536"/>
      <c r="EJ12" s="537"/>
      <c r="EK12" s="314" t="s">
        <v>120</v>
      </c>
      <c r="EL12" s="315"/>
      <c r="EM12" s="315"/>
      <c r="EN12" s="315"/>
      <c r="EO12" s="536"/>
      <c r="EP12" s="536"/>
      <c r="EQ12" s="536"/>
      <c r="ER12" s="537"/>
    </row>
    <row r="13" spans="1:148" ht="15" customHeight="1" thickTop="1">
      <c r="A13" s="62"/>
      <c r="B13" s="63"/>
      <c r="C13" s="63"/>
      <c r="D13" s="63"/>
      <c r="E13" s="63"/>
      <c r="F13" s="63"/>
      <c r="G13" s="251"/>
      <c r="H13" s="255"/>
      <c r="I13" s="255"/>
      <c r="J13" s="255"/>
      <c r="K13" s="255"/>
      <c r="L13" s="255"/>
      <c r="M13" s="255"/>
      <c r="N13" s="255"/>
      <c r="O13" s="255"/>
      <c r="P13" s="255"/>
      <c r="Q13" s="252"/>
      <c r="R13" s="251"/>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255"/>
      <c r="AX13" s="255"/>
      <c r="AY13" s="255"/>
      <c r="AZ13" s="255"/>
      <c r="BA13" s="255"/>
      <c r="BB13" s="255"/>
      <c r="BC13" s="255"/>
      <c r="BD13" s="255"/>
      <c r="BE13" s="255"/>
      <c r="BF13" s="255"/>
      <c r="BG13" s="255"/>
      <c r="BH13" s="252"/>
      <c r="BI13" s="512" t="s">
        <v>121</v>
      </c>
      <c r="BJ13" s="513"/>
      <c r="BK13" s="513"/>
      <c r="BL13" s="514"/>
      <c r="BM13" s="512" t="s">
        <v>122</v>
      </c>
      <c r="BN13" s="513"/>
      <c r="BO13" s="513"/>
      <c r="BP13" s="514"/>
      <c r="BQ13" s="515" t="s">
        <v>42</v>
      </c>
      <c r="BR13" s="516"/>
      <c r="BS13" s="516"/>
      <c r="BT13" s="516"/>
      <c r="BU13" s="515" t="s">
        <v>41</v>
      </c>
      <c r="BV13" s="516"/>
      <c r="BW13" s="516"/>
      <c r="BX13" s="516"/>
      <c r="BY13" s="516"/>
      <c r="BZ13" s="516"/>
      <c r="CA13" s="516"/>
      <c r="CB13" s="516"/>
      <c r="CC13" s="517" t="s">
        <v>123</v>
      </c>
      <c r="CD13" s="518"/>
      <c r="CE13" s="518"/>
      <c r="CF13" s="519"/>
      <c r="CG13" s="315" t="s">
        <v>42</v>
      </c>
      <c r="CH13" s="315"/>
      <c r="CI13" s="315"/>
      <c r="CJ13" s="315"/>
      <c r="CK13" s="385" t="s">
        <v>124</v>
      </c>
      <c r="CL13" s="385"/>
      <c r="CM13" s="385"/>
      <c r="CN13" s="385"/>
      <c r="CO13" s="385"/>
      <c r="CP13" s="385"/>
      <c r="CQ13" s="385"/>
      <c r="CR13" s="314"/>
      <c r="CS13" s="517" t="s">
        <v>123</v>
      </c>
      <c r="CT13" s="518"/>
      <c r="CU13" s="518"/>
      <c r="CV13" s="519"/>
      <c r="CW13" s="315" t="s">
        <v>42</v>
      </c>
      <c r="CX13" s="315"/>
      <c r="CY13" s="315"/>
      <c r="CZ13" s="315"/>
      <c r="DA13" s="517" t="s">
        <v>123</v>
      </c>
      <c r="DB13" s="518"/>
      <c r="DC13" s="518"/>
      <c r="DD13" s="519"/>
      <c r="DE13" s="516" t="s">
        <v>42</v>
      </c>
      <c r="DF13" s="516"/>
      <c r="DG13" s="516"/>
      <c r="DH13" s="516"/>
      <c r="DI13" s="625" t="s">
        <v>41</v>
      </c>
      <c r="DJ13" s="625"/>
      <c r="DK13" s="625"/>
      <c r="DL13" s="625"/>
      <c r="DM13" s="625"/>
      <c r="DN13" s="625"/>
      <c r="DO13" s="625"/>
      <c r="DP13" s="515"/>
      <c r="DQ13" s="517" t="s">
        <v>123</v>
      </c>
      <c r="DR13" s="518"/>
      <c r="DS13" s="518"/>
      <c r="DT13" s="519"/>
      <c r="DU13" s="315" t="s">
        <v>42</v>
      </c>
      <c r="DV13" s="315"/>
      <c r="DW13" s="315"/>
      <c r="DX13" s="315"/>
      <c r="DY13" s="385" t="s">
        <v>124</v>
      </c>
      <c r="DZ13" s="385"/>
      <c r="EA13" s="385"/>
      <c r="EB13" s="385"/>
      <c r="EC13" s="385"/>
      <c r="ED13" s="385"/>
      <c r="EE13" s="385"/>
      <c r="EF13" s="314"/>
      <c r="EG13" s="517" t="s">
        <v>123</v>
      </c>
      <c r="EH13" s="518"/>
      <c r="EI13" s="518"/>
      <c r="EJ13" s="519"/>
      <c r="EK13" s="315" t="s">
        <v>42</v>
      </c>
      <c r="EL13" s="315"/>
      <c r="EM13" s="315"/>
      <c r="EN13" s="315"/>
      <c r="EO13" s="517" t="s">
        <v>123</v>
      </c>
      <c r="EP13" s="518"/>
      <c r="EQ13" s="518"/>
      <c r="ER13" s="519"/>
    </row>
    <row r="14" spans="1:148" ht="51.95" customHeight="1">
      <c r="A14" s="472" t="s">
        <v>125</v>
      </c>
      <c r="B14" s="473"/>
      <c r="C14" s="473"/>
      <c r="D14" s="473"/>
      <c r="E14" s="473"/>
      <c r="F14" s="474"/>
      <c r="G14" s="530" t="s">
        <v>126</v>
      </c>
      <c r="H14" s="531"/>
      <c r="I14" s="531"/>
      <c r="J14" s="531"/>
      <c r="K14" s="531"/>
      <c r="L14" s="531"/>
      <c r="M14" s="531"/>
      <c r="N14" s="531"/>
      <c r="O14" s="531"/>
      <c r="P14" s="531"/>
      <c r="Q14" s="532"/>
      <c r="R14" s="530" t="s">
        <v>127</v>
      </c>
      <c r="S14" s="531"/>
      <c r="T14" s="531"/>
      <c r="U14" s="531"/>
      <c r="V14" s="531"/>
      <c r="W14" s="531"/>
      <c r="X14" s="531"/>
      <c r="Y14" s="531"/>
      <c r="Z14" s="531"/>
      <c r="AA14" s="531"/>
      <c r="AB14" s="531"/>
      <c r="AC14" s="531"/>
      <c r="AD14" s="531"/>
      <c r="AE14" s="531"/>
      <c r="AF14" s="531"/>
      <c r="AG14" s="531"/>
      <c r="AH14" s="531"/>
      <c r="AI14" s="531"/>
      <c r="AJ14" s="531"/>
      <c r="AK14" s="531"/>
      <c r="AL14" s="531"/>
      <c r="AM14" s="531"/>
      <c r="AN14" s="531"/>
      <c r="AO14" s="531"/>
      <c r="AP14" s="531"/>
      <c r="AQ14" s="531"/>
      <c r="AR14" s="531"/>
      <c r="AS14" s="531"/>
      <c r="AT14" s="531"/>
      <c r="AU14" s="531"/>
      <c r="AV14" s="531"/>
      <c r="AW14" s="531"/>
      <c r="AX14" s="531"/>
      <c r="AY14" s="531"/>
      <c r="AZ14" s="531"/>
      <c r="BA14" s="531"/>
      <c r="BB14" s="531"/>
      <c r="BC14" s="531"/>
      <c r="BD14" s="531"/>
      <c r="BE14" s="531"/>
      <c r="BF14" s="531"/>
      <c r="BG14" s="531"/>
      <c r="BH14" s="532"/>
      <c r="BI14" s="484">
        <v>15</v>
      </c>
      <c r="BJ14" s="485"/>
      <c r="BK14" s="485"/>
      <c r="BL14" s="522"/>
      <c r="BM14" s="540">
        <f>BI14+BI15+BI16+BI17+BI18+BI19</f>
        <v>70</v>
      </c>
      <c r="BN14" s="541"/>
      <c r="BO14" s="541"/>
      <c r="BP14" s="542"/>
      <c r="BQ14" s="523"/>
      <c r="BR14" s="524"/>
      <c r="BS14" s="524"/>
      <c r="BT14" s="524"/>
      <c r="BU14" s="538"/>
      <c r="BV14" s="538"/>
      <c r="BW14" s="538"/>
      <c r="BX14" s="538"/>
      <c r="BY14" s="538"/>
      <c r="BZ14" s="538"/>
      <c r="CA14" s="538"/>
      <c r="CB14" s="539"/>
      <c r="CC14" s="525" t="str">
        <f>IF($BI14*BQ14=0,"",$BI14*BQ14)</f>
        <v/>
      </c>
      <c r="CD14" s="526"/>
      <c r="CE14" s="526"/>
      <c r="CF14" s="527"/>
      <c r="CG14" s="523"/>
      <c r="CH14" s="524"/>
      <c r="CI14" s="524"/>
      <c r="CJ14" s="524"/>
      <c r="CK14" s="555"/>
      <c r="CL14" s="556"/>
      <c r="CM14" s="556"/>
      <c r="CN14" s="556"/>
      <c r="CO14" s="556"/>
      <c r="CP14" s="556"/>
      <c r="CQ14" s="556"/>
      <c r="CR14" s="557"/>
      <c r="CS14" s="525" t="str">
        <f>IF($BI14*CG14=0,"",$BI14*CG14)</f>
        <v/>
      </c>
      <c r="CT14" s="526"/>
      <c r="CU14" s="526"/>
      <c r="CV14" s="527"/>
      <c r="CW14" s="523">
        <f>CG14</f>
        <v>0</v>
      </c>
      <c r="CX14" s="524"/>
      <c r="CY14" s="524"/>
      <c r="CZ14" s="524"/>
      <c r="DA14" s="525" t="str">
        <f>IF($BI14*CW14=0,"",$BI14*CW14)</f>
        <v/>
      </c>
      <c r="DB14" s="526"/>
      <c r="DC14" s="526"/>
      <c r="DD14" s="527"/>
      <c r="DE14" s="523"/>
      <c r="DF14" s="524"/>
      <c r="DG14" s="524"/>
      <c r="DH14" s="524"/>
      <c r="DI14" s="555"/>
      <c r="DJ14" s="556"/>
      <c r="DK14" s="556"/>
      <c r="DL14" s="556"/>
      <c r="DM14" s="556"/>
      <c r="DN14" s="556"/>
      <c r="DO14" s="556"/>
      <c r="DP14" s="557"/>
      <c r="DQ14" s="525" t="str">
        <f>IF($BI14*DE14=0,"",$BI14*DE14)</f>
        <v/>
      </c>
      <c r="DR14" s="526"/>
      <c r="DS14" s="526"/>
      <c r="DT14" s="527"/>
      <c r="DU14" s="523"/>
      <c r="DV14" s="524"/>
      <c r="DW14" s="524"/>
      <c r="DX14" s="524"/>
      <c r="DY14" s="555"/>
      <c r="DZ14" s="556"/>
      <c r="EA14" s="556"/>
      <c r="EB14" s="556"/>
      <c r="EC14" s="556"/>
      <c r="ED14" s="556"/>
      <c r="EE14" s="556"/>
      <c r="EF14" s="556"/>
      <c r="EG14" s="525" t="str">
        <f>IF($BI14*DU14=0,"",$BI14*DU14)</f>
        <v/>
      </c>
      <c r="EH14" s="526"/>
      <c r="EI14" s="526"/>
      <c r="EJ14" s="527"/>
      <c r="EK14" s="523">
        <f>DU14</f>
        <v>0</v>
      </c>
      <c r="EL14" s="524"/>
      <c r="EM14" s="524"/>
      <c r="EN14" s="524"/>
      <c r="EO14" s="525" t="str">
        <f>IF($BI14*EK14=0,"",$BI14*EK14)</f>
        <v/>
      </c>
      <c r="EP14" s="526"/>
      <c r="EQ14" s="526"/>
      <c r="ER14" s="527"/>
    </row>
    <row r="15" spans="1:148" ht="51.95" customHeight="1">
      <c r="A15" s="475"/>
      <c r="B15" s="476"/>
      <c r="C15" s="476"/>
      <c r="D15" s="476"/>
      <c r="E15" s="476"/>
      <c r="F15" s="477"/>
      <c r="G15" s="530" t="s">
        <v>128</v>
      </c>
      <c r="H15" s="531"/>
      <c r="I15" s="531"/>
      <c r="J15" s="531"/>
      <c r="K15" s="531"/>
      <c r="L15" s="531"/>
      <c r="M15" s="531"/>
      <c r="N15" s="531"/>
      <c r="O15" s="531"/>
      <c r="P15" s="531"/>
      <c r="Q15" s="532"/>
      <c r="R15" s="530" t="s">
        <v>129</v>
      </c>
      <c r="S15" s="531"/>
      <c r="T15" s="531"/>
      <c r="U15" s="531"/>
      <c r="V15" s="531"/>
      <c r="W15" s="531"/>
      <c r="X15" s="531"/>
      <c r="Y15" s="531"/>
      <c r="Z15" s="531"/>
      <c r="AA15" s="531"/>
      <c r="AB15" s="531"/>
      <c r="AC15" s="531"/>
      <c r="AD15" s="531"/>
      <c r="AE15" s="531"/>
      <c r="AF15" s="531"/>
      <c r="AG15" s="531"/>
      <c r="AH15" s="531"/>
      <c r="AI15" s="531"/>
      <c r="AJ15" s="531"/>
      <c r="AK15" s="531"/>
      <c r="AL15" s="531"/>
      <c r="AM15" s="531"/>
      <c r="AN15" s="531"/>
      <c r="AO15" s="531"/>
      <c r="AP15" s="531"/>
      <c r="AQ15" s="531"/>
      <c r="AR15" s="531"/>
      <c r="AS15" s="531"/>
      <c r="AT15" s="531"/>
      <c r="AU15" s="531"/>
      <c r="AV15" s="531"/>
      <c r="AW15" s="531"/>
      <c r="AX15" s="531"/>
      <c r="AY15" s="531"/>
      <c r="AZ15" s="531"/>
      <c r="BA15" s="531"/>
      <c r="BB15" s="531"/>
      <c r="BC15" s="531"/>
      <c r="BD15" s="531"/>
      <c r="BE15" s="531"/>
      <c r="BF15" s="531"/>
      <c r="BG15" s="531"/>
      <c r="BH15" s="532"/>
      <c r="BI15" s="484">
        <v>15</v>
      </c>
      <c r="BJ15" s="485"/>
      <c r="BK15" s="485"/>
      <c r="BL15" s="522"/>
      <c r="BM15" s="543"/>
      <c r="BN15" s="544"/>
      <c r="BO15" s="544"/>
      <c r="BP15" s="545"/>
      <c r="BQ15" s="523"/>
      <c r="BR15" s="524"/>
      <c r="BS15" s="524"/>
      <c r="BT15" s="524"/>
      <c r="BU15" s="538"/>
      <c r="BV15" s="538"/>
      <c r="BW15" s="538"/>
      <c r="BX15" s="538"/>
      <c r="BY15" s="538"/>
      <c r="BZ15" s="538"/>
      <c r="CA15" s="538"/>
      <c r="CB15" s="539"/>
      <c r="CC15" s="525" t="str">
        <f>IF($BI15*BQ15=0,"",$BI15*BQ15)</f>
        <v/>
      </c>
      <c r="CD15" s="526"/>
      <c r="CE15" s="526"/>
      <c r="CF15" s="527"/>
      <c r="CG15" s="523"/>
      <c r="CH15" s="524"/>
      <c r="CI15" s="524"/>
      <c r="CJ15" s="524"/>
      <c r="CK15" s="558"/>
      <c r="CL15" s="559"/>
      <c r="CM15" s="559"/>
      <c r="CN15" s="559"/>
      <c r="CO15" s="559"/>
      <c r="CP15" s="559"/>
      <c r="CQ15" s="559"/>
      <c r="CR15" s="560"/>
      <c r="CS15" s="525" t="str">
        <f>IF($BI15*CG15=0,"",$BI15*CG15)</f>
        <v/>
      </c>
      <c r="CT15" s="526"/>
      <c r="CU15" s="526"/>
      <c r="CV15" s="527"/>
      <c r="CW15" s="523">
        <f t="shared" ref="CW15:CW24" si="0">CG15</f>
        <v>0</v>
      </c>
      <c r="CX15" s="524"/>
      <c r="CY15" s="524"/>
      <c r="CZ15" s="524"/>
      <c r="DA15" s="525" t="str">
        <f>IF($BI15*CW15=0,"",$BI15*CW15)</f>
        <v/>
      </c>
      <c r="DB15" s="526"/>
      <c r="DC15" s="526"/>
      <c r="DD15" s="527"/>
      <c r="DE15" s="523"/>
      <c r="DF15" s="524"/>
      <c r="DG15" s="524"/>
      <c r="DH15" s="524"/>
      <c r="DI15" s="558"/>
      <c r="DJ15" s="559"/>
      <c r="DK15" s="559"/>
      <c r="DL15" s="559"/>
      <c r="DM15" s="559"/>
      <c r="DN15" s="559"/>
      <c r="DO15" s="559"/>
      <c r="DP15" s="560"/>
      <c r="DQ15" s="525" t="str">
        <f>IF($BI15*DE15=0,"",$BI15*DE15)</f>
        <v/>
      </c>
      <c r="DR15" s="526"/>
      <c r="DS15" s="526"/>
      <c r="DT15" s="527"/>
      <c r="DU15" s="523"/>
      <c r="DV15" s="524"/>
      <c r="DW15" s="524"/>
      <c r="DX15" s="524"/>
      <c r="DY15" s="558"/>
      <c r="DZ15" s="559"/>
      <c r="EA15" s="559"/>
      <c r="EB15" s="559"/>
      <c r="EC15" s="559"/>
      <c r="ED15" s="559"/>
      <c r="EE15" s="559"/>
      <c r="EF15" s="559"/>
      <c r="EG15" s="525" t="str">
        <f>IF($BI15*DU15=0,"",$BI15*DU15)</f>
        <v/>
      </c>
      <c r="EH15" s="526"/>
      <c r="EI15" s="526"/>
      <c r="EJ15" s="527"/>
      <c r="EK15" s="523">
        <f t="shared" ref="EK15:EK24" si="1">DU15</f>
        <v>0</v>
      </c>
      <c r="EL15" s="524"/>
      <c r="EM15" s="524"/>
      <c r="EN15" s="524"/>
      <c r="EO15" s="525" t="str">
        <f>IF($BI15*EK15=0,"",$BI15*EK15)</f>
        <v/>
      </c>
      <c r="EP15" s="526"/>
      <c r="EQ15" s="526"/>
      <c r="ER15" s="527"/>
    </row>
    <row r="16" spans="1:148" ht="51.95" customHeight="1">
      <c r="A16" s="475"/>
      <c r="B16" s="476"/>
      <c r="C16" s="476"/>
      <c r="D16" s="476"/>
      <c r="E16" s="476"/>
      <c r="F16" s="477"/>
      <c r="G16" s="530" t="s">
        <v>130</v>
      </c>
      <c r="H16" s="531"/>
      <c r="I16" s="531"/>
      <c r="J16" s="531"/>
      <c r="K16" s="531"/>
      <c r="L16" s="531"/>
      <c r="M16" s="531"/>
      <c r="N16" s="531"/>
      <c r="O16" s="531"/>
      <c r="P16" s="531"/>
      <c r="Q16" s="532"/>
      <c r="R16" s="530" t="s">
        <v>131</v>
      </c>
      <c r="S16" s="531"/>
      <c r="T16" s="531"/>
      <c r="U16" s="531"/>
      <c r="V16" s="531"/>
      <c r="W16" s="531"/>
      <c r="X16" s="531"/>
      <c r="Y16" s="531"/>
      <c r="Z16" s="531"/>
      <c r="AA16" s="531"/>
      <c r="AB16" s="531"/>
      <c r="AC16" s="531"/>
      <c r="AD16" s="531"/>
      <c r="AE16" s="531"/>
      <c r="AF16" s="531"/>
      <c r="AG16" s="531"/>
      <c r="AH16" s="531"/>
      <c r="AI16" s="531"/>
      <c r="AJ16" s="531"/>
      <c r="AK16" s="531"/>
      <c r="AL16" s="531"/>
      <c r="AM16" s="531"/>
      <c r="AN16" s="531"/>
      <c r="AO16" s="531"/>
      <c r="AP16" s="531"/>
      <c r="AQ16" s="531"/>
      <c r="AR16" s="531"/>
      <c r="AS16" s="531"/>
      <c r="AT16" s="531"/>
      <c r="AU16" s="531"/>
      <c r="AV16" s="531"/>
      <c r="AW16" s="531"/>
      <c r="AX16" s="531"/>
      <c r="AY16" s="531"/>
      <c r="AZ16" s="531"/>
      <c r="BA16" s="531"/>
      <c r="BB16" s="531"/>
      <c r="BC16" s="531"/>
      <c r="BD16" s="531"/>
      <c r="BE16" s="531"/>
      <c r="BF16" s="531"/>
      <c r="BG16" s="531"/>
      <c r="BH16" s="532"/>
      <c r="BI16" s="484">
        <v>10</v>
      </c>
      <c r="BJ16" s="485"/>
      <c r="BK16" s="485"/>
      <c r="BL16" s="522"/>
      <c r="BM16" s="543"/>
      <c r="BN16" s="544"/>
      <c r="BO16" s="544"/>
      <c r="BP16" s="545"/>
      <c r="BQ16" s="523"/>
      <c r="BR16" s="524"/>
      <c r="BS16" s="524"/>
      <c r="BT16" s="524"/>
      <c r="BU16" s="538"/>
      <c r="BV16" s="538"/>
      <c r="BW16" s="538"/>
      <c r="BX16" s="538"/>
      <c r="BY16" s="538"/>
      <c r="BZ16" s="538"/>
      <c r="CA16" s="538"/>
      <c r="CB16" s="539"/>
      <c r="CC16" s="525" t="str">
        <f>IF($BI16*BQ16=0,"",$BI16*BQ16)</f>
        <v/>
      </c>
      <c r="CD16" s="526"/>
      <c r="CE16" s="526"/>
      <c r="CF16" s="527"/>
      <c r="CG16" s="523"/>
      <c r="CH16" s="524"/>
      <c r="CI16" s="524"/>
      <c r="CJ16" s="524"/>
      <c r="CK16" s="558"/>
      <c r="CL16" s="559"/>
      <c r="CM16" s="559"/>
      <c r="CN16" s="559"/>
      <c r="CO16" s="559"/>
      <c r="CP16" s="559"/>
      <c r="CQ16" s="559"/>
      <c r="CR16" s="560"/>
      <c r="CS16" s="525" t="str">
        <f>IF($BI16*CG16=0,"",$BI16*CG16)</f>
        <v/>
      </c>
      <c r="CT16" s="526"/>
      <c r="CU16" s="526"/>
      <c r="CV16" s="527"/>
      <c r="CW16" s="523">
        <f t="shared" si="0"/>
        <v>0</v>
      </c>
      <c r="CX16" s="524"/>
      <c r="CY16" s="524"/>
      <c r="CZ16" s="524"/>
      <c r="DA16" s="525" t="str">
        <f>IF($BI16*CW16=0,"",$BI16*CW16)</f>
        <v/>
      </c>
      <c r="DB16" s="526"/>
      <c r="DC16" s="526"/>
      <c r="DD16" s="527"/>
      <c r="DE16" s="523"/>
      <c r="DF16" s="524"/>
      <c r="DG16" s="524"/>
      <c r="DH16" s="524"/>
      <c r="DI16" s="558"/>
      <c r="DJ16" s="559"/>
      <c r="DK16" s="559"/>
      <c r="DL16" s="559"/>
      <c r="DM16" s="559"/>
      <c r="DN16" s="559"/>
      <c r="DO16" s="559"/>
      <c r="DP16" s="560"/>
      <c r="DQ16" s="525" t="str">
        <f>IF($BI16*DE16=0,"",$BI16*DE16)</f>
        <v/>
      </c>
      <c r="DR16" s="526"/>
      <c r="DS16" s="526"/>
      <c r="DT16" s="527"/>
      <c r="DU16" s="523"/>
      <c r="DV16" s="524"/>
      <c r="DW16" s="524"/>
      <c r="DX16" s="524"/>
      <c r="DY16" s="558"/>
      <c r="DZ16" s="559"/>
      <c r="EA16" s="559"/>
      <c r="EB16" s="559"/>
      <c r="EC16" s="559"/>
      <c r="ED16" s="559"/>
      <c r="EE16" s="559"/>
      <c r="EF16" s="559"/>
      <c r="EG16" s="525" t="str">
        <f>IF($BI16*DU16=0,"",$BI16*DU16)</f>
        <v/>
      </c>
      <c r="EH16" s="526"/>
      <c r="EI16" s="526"/>
      <c r="EJ16" s="527"/>
      <c r="EK16" s="523">
        <f t="shared" si="1"/>
        <v>0</v>
      </c>
      <c r="EL16" s="524"/>
      <c r="EM16" s="524"/>
      <c r="EN16" s="524"/>
      <c r="EO16" s="525" t="str">
        <f>IF($BI16*EK16=0,"",$BI16*EK16)</f>
        <v/>
      </c>
      <c r="EP16" s="526"/>
      <c r="EQ16" s="526"/>
      <c r="ER16" s="527"/>
    </row>
    <row r="17" spans="1:148" ht="51.95" customHeight="1">
      <c r="A17" s="475"/>
      <c r="B17" s="476"/>
      <c r="C17" s="476"/>
      <c r="D17" s="476"/>
      <c r="E17" s="476"/>
      <c r="F17" s="477"/>
      <c r="G17" s="530" t="s">
        <v>132</v>
      </c>
      <c r="H17" s="531"/>
      <c r="I17" s="531"/>
      <c r="J17" s="531"/>
      <c r="K17" s="531"/>
      <c r="L17" s="531"/>
      <c r="M17" s="531"/>
      <c r="N17" s="531"/>
      <c r="O17" s="531"/>
      <c r="P17" s="531"/>
      <c r="Q17" s="532"/>
      <c r="R17" s="530" t="s">
        <v>133</v>
      </c>
      <c r="S17" s="531"/>
      <c r="T17" s="531"/>
      <c r="U17" s="531"/>
      <c r="V17" s="531"/>
      <c r="W17" s="531"/>
      <c r="X17" s="531"/>
      <c r="Y17" s="531"/>
      <c r="Z17" s="531"/>
      <c r="AA17" s="531"/>
      <c r="AB17" s="531"/>
      <c r="AC17" s="531"/>
      <c r="AD17" s="531"/>
      <c r="AE17" s="531"/>
      <c r="AF17" s="531"/>
      <c r="AG17" s="531"/>
      <c r="AH17" s="531"/>
      <c r="AI17" s="531"/>
      <c r="AJ17" s="531"/>
      <c r="AK17" s="531"/>
      <c r="AL17" s="531"/>
      <c r="AM17" s="531"/>
      <c r="AN17" s="531"/>
      <c r="AO17" s="531"/>
      <c r="AP17" s="531"/>
      <c r="AQ17" s="531"/>
      <c r="AR17" s="531"/>
      <c r="AS17" s="531"/>
      <c r="AT17" s="531"/>
      <c r="AU17" s="531"/>
      <c r="AV17" s="531"/>
      <c r="AW17" s="531"/>
      <c r="AX17" s="531"/>
      <c r="AY17" s="531"/>
      <c r="AZ17" s="531"/>
      <c r="BA17" s="531"/>
      <c r="BB17" s="531"/>
      <c r="BC17" s="531"/>
      <c r="BD17" s="531"/>
      <c r="BE17" s="531"/>
      <c r="BF17" s="531"/>
      <c r="BG17" s="531"/>
      <c r="BH17" s="532"/>
      <c r="BI17" s="484">
        <v>10</v>
      </c>
      <c r="BJ17" s="485"/>
      <c r="BK17" s="485"/>
      <c r="BL17" s="522"/>
      <c r="BM17" s="543"/>
      <c r="BN17" s="544"/>
      <c r="BO17" s="544"/>
      <c r="BP17" s="545"/>
      <c r="BQ17" s="523"/>
      <c r="BR17" s="524"/>
      <c r="BS17" s="524"/>
      <c r="BT17" s="524"/>
      <c r="BU17" s="538"/>
      <c r="BV17" s="538"/>
      <c r="BW17" s="538"/>
      <c r="BX17" s="538"/>
      <c r="BY17" s="538"/>
      <c r="BZ17" s="538"/>
      <c r="CA17" s="538"/>
      <c r="CB17" s="539"/>
      <c r="CC17" s="525" t="str">
        <f>IF($BI17*BQ17=0,"",$BI17*BQ17)</f>
        <v/>
      </c>
      <c r="CD17" s="526"/>
      <c r="CE17" s="526"/>
      <c r="CF17" s="527"/>
      <c r="CG17" s="523"/>
      <c r="CH17" s="524"/>
      <c r="CI17" s="524"/>
      <c r="CJ17" s="524"/>
      <c r="CK17" s="558"/>
      <c r="CL17" s="559"/>
      <c r="CM17" s="559"/>
      <c r="CN17" s="559"/>
      <c r="CO17" s="559"/>
      <c r="CP17" s="559"/>
      <c r="CQ17" s="559"/>
      <c r="CR17" s="560"/>
      <c r="CS17" s="525" t="str">
        <f>IF($BI17*CG17=0,"",$BI17*CG17)</f>
        <v/>
      </c>
      <c r="CT17" s="526"/>
      <c r="CU17" s="526"/>
      <c r="CV17" s="527"/>
      <c r="CW17" s="523">
        <f t="shared" si="0"/>
        <v>0</v>
      </c>
      <c r="CX17" s="524"/>
      <c r="CY17" s="524"/>
      <c r="CZ17" s="524"/>
      <c r="DA17" s="525" t="str">
        <f>IF($BI17*CW17=0,"",$BI17*CW17)</f>
        <v/>
      </c>
      <c r="DB17" s="526"/>
      <c r="DC17" s="526"/>
      <c r="DD17" s="527"/>
      <c r="DE17" s="523"/>
      <c r="DF17" s="524"/>
      <c r="DG17" s="524"/>
      <c r="DH17" s="524"/>
      <c r="DI17" s="558"/>
      <c r="DJ17" s="559"/>
      <c r="DK17" s="559"/>
      <c r="DL17" s="559"/>
      <c r="DM17" s="559"/>
      <c r="DN17" s="559"/>
      <c r="DO17" s="559"/>
      <c r="DP17" s="560"/>
      <c r="DQ17" s="525" t="str">
        <f>IF($BI17*DE17=0,"",$BI17*DE17)</f>
        <v/>
      </c>
      <c r="DR17" s="526"/>
      <c r="DS17" s="526"/>
      <c r="DT17" s="527"/>
      <c r="DU17" s="523"/>
      <c r="DV17" s="524"/>
      <c r="DW17" s="524"/>
      <c r="DX17" s="524"/>
      <c r="DY17" s="558"/>
      <c r="DZ17" s="559"/>
      <c r="EA17" s="559"/>
      <c r="EB17" s="559"/>
      <c r="EC17" s="559"/>
      <c r="ED17" s="559"/>
      <c r="EE17" s="559"/>
      <c r="EF17" s="559"/>
      <c r="EG17" s="525" t="str">
        <f>IF($BI17*DU17=0,"",$BI17*DU17)</f>
        <v/>
      </c>
      <c r="EH17" s="526"/>
      <c r="EI17" s="526"/>
      <c r="EJ17" s="527"/>
      <c r="EK17" s="523">
        <f t="shared" si="1"/>
        <v>0</v>
      </c>
      <c r="EL17" s="524"/>
      <c r="EM17" s="524"/>
      <c r="EN17" s="524"/>
      <c r="EO17" s="525" t="str">
        <f>IF($BI17*EK17=0,"",$BI17*EK17)</f>
        <v/>
      </c>
      <c r="EP17" s="526"/>
      <c r="EQ17" s="526"/>
      <c r="ER17" s="527"/>
    </row>
    <row r="18" spans="1:148" ht="51.95" customHeight="1">
      <c r="A18" s="475"/>
      <c r="B18" s="476"/>
      <c r="C18" s="476"/>
      <c r="D18" s="476"/>
      <c r="E18" s="476"/>
      <c r="F18" s="477"/>
      <c r="G18" s="530" t="s">
        <v>134</v>
      </c>
      <c r="H18" s="531"/>
      <c r="I18" s="531"/>
      <c r="J18" s="531"/>
      <c r="K18" s="531"/>
      <c r="L18" s="531"/>
      <c r="M18" s="531"/>
      <c r="N18" s="531"/>
      <c r="O18" s="531"/>
      <c r="P18" s="531"/>
      <c r="Q18" s="532"/>
      <c r="R18" s="530" t="s">
        <v>135</v>
      </c>
      <c r="S18" s="531"/>
      <c r="T18" s="531"/>
      <c r="U18" s="531"/>
      <c r="V18" s="531"/>
      <c r="W18" s="531"/>
      <c r="X18" s="531"/>
      <c r="Y18" s="531"/>
      <c r="Z18" s="531"/>
      <c r="AA18" s="531"/>
      <c r="AB18" s="531"/>
      <c r="AC18" s="531"/>
      <c r="AD18" s="531"/>
      <c r="AE18" s="531"/>
      <c r="AF18" s="531"/>
      <c r="AG18" s="531"/>
      <c r="AH18" s="531"/>
      <c r="AI18" s="531"/>
      <c r="AJ18" s="531"/>
      <c r="AK18" s="531"/>
      <c r="AL18" s="531"/>
      <c r="AM18" s="531"/>
      <c r="AN18" s="531"/>
      <c r="AO18" s="531"/>
      <c r="AP18" s="531"/>
      <c r="AQ18" s="531"/>
      <c r="AR18" s="531"/>
      <c r="AS18" s="531"/>
      <c r="AT18" s="531"/>
      <c r="AU18" s="531"/>
      <c r="AV18" s="531"/>
      <c r="AW18" s="531"/>
      <c r="AX18" s="531"/>
      <c r="AY18" s="531"/>
      <c r="AZ18" s="531"/>
      <c r="BA18" s="531"/>
      <c r="BB18" s="531"/>
      <c r="BC18" s="531"/>
      <c r="BD18" s="531"/>
      <c r="BE18" s="531"/>
      <c r="BF18" s="531"/>
      <c r="BG18" s="531"/>
      <c r="BH18" s="532"/>
      <c r="BI18" s="484">
        <v>10</v>
      </c>
      <c r="BJ18" s="485"/>
      <c r="BK18" s="485"/>
      <c r="BL18" s="522"/>
      <c r="BM18" s="543"/>
      <c r="BN18" s="544"/>
      <c r="BO18" s="544"/>
      <c r="BP18" s="545"/>
      <c r="BQ18" s="523"/>
      <c r="BR18" s="524"/>
      <c r="BS18" s="524"/>
      <c r="BT18" s="524"/>
      <c r="BU18" s="538"/>
      <c r="BV18" s="538"/>
      <c r="BW18" s="538"/>
      <c r="BX18" s="538"/>
      <c r="BY18" s="538"/>
      <c r="BZ18" s="538"/>
      <c r="CA18" s="538"/>
      <c r="CB18" s="539"/>
      <c r="CC18" s="525" t="str">
        <f>IF($BI18*BQ18=0,"",$BI18*BQ18)</f>
        <v/>
      </c>
      <c r="CD18" s="526"/>
      <c r="CE18" s="526"/>
      <c r="CF18" s="527"/>
      <c r="CG18" s="523"/>
      <c r="CH18" s="524"/>
      <c r="CI18" s="524"/>
      <c r="CJ18" s="524"/>
      <c r="CK18" s="558"/>
      <c r="CL18" s="559"/>
      <c r="CM18" s="559"/>
      <c r="CN18" s="559"/>
      <c r="CO18" s="559"/>
      <c r="CP18" s="559"/>
      <c r="CQ18" s="559"/>
      <c r="CR18" s="560"/>
      <c r="CS18" s="525" t="str">
        <f>IF($BI18*CG18=0,"",$BI18*CG18)</f>
        <v/>
      </c>
      <c r="CT18" s="526"/>
      <c r="CU18" s="526"/>
      <c r="CV18" s="527"/>
      <c r="CW18" s="523">
        <f t="shared" si="0"/>
        <v>0</v>
      </c>
      <c r="CX18" s="524"/>
      <c r="CY18" s="524"/>
      <c r="CZ18" s="524"/>
      <c r="DA18" s="525" t="str">
        <f>IF($BI18*CW18=0,"",$BI18*CW18)</f>
        <v/>
      </c>
      <c r="DB18" s="526"/>
      <c r="DC18" s="526"/>
      <c r="DD18" s="527"/>
      <c r="DE18" s="523"/>
      <c r="DF18" s="524"/>
      <c r="DG18" s="524"/>
      <c r="DH18" s="524"/>
      <c r="DI18" s="558"/>
      <c r="DJ18" s="559"/>
      <c r="DK18" s="559"/>
      <c r="DL18" s="559"/>
      <c r="DM18" s="559"/>
      <c r="DN18" s="559"/>
      <c r="DO18" s="559"/>
      <c r="DP18" s="560"/>
      <c r="DQ18" s="525" t="str">
        <f>IF($BI18*DE18=0,"",$BI18*DE18)</f>
        <v/>
      </c>
      <c r="DR18" s="526"/>
      <c r="DS18" s="526"/>
      <c r="DT18" s="527"/>
      <c r="DU18" s="523"/>
      <c r="DV18" s="524"/>
      <c r="DW18" s="524"/>
      <c r="DX18" s="524"/>
      <c r="DY18" s="558"/>
      <c r="DZ18" s="559"/>
      <c r="EA18" s="559"/>
      <c r="EB18" s="559"/>
      <c r="EC18" s="559"/>
      <c r="ED18" s="559"/>
      <c r="EE18" s="559"/>
      <c r="EF18" s="559"/>
      <c r="EG18" s="525" t="str">
        <f>IF($BI18*DU18=0,"",$BI18*DU18)</f>
        <v/>
      </c>
      <c r="EH18" s="526"/>
      <c r="EI18" s="526"/>
      <c r="EJ18" s="527"/>
      <c r="EK18" s="523">
        <f t="shared" si="1"/>
        <v>0</v>
      </c>
      <c r="EL18" s="524"/>
      <c r="EM18" s="524"/>
      <c r="EN18" s="524"/>
      <c r="EO18" s="525" t="str">
        <f>IF($BI18*EK18=0,"",$BI18*EK18)</f>
        <v/>
      </c>
      <c r="EP18" s="526"/>
      <c r="EQ18" s="526"/>
      <c r="ER18" s="527"/>
    </row>
    <row r="19" spans="1:148" ht="51.95" customHeight="1">
      <c r="A19" s="478"/>
      <c r="B19" s="479"/>
      <c r="C19" s="479"/>
      <c r="D19" s="479"/>
      <c r="E19" s="479"/>
      <c r="F19" s="480"/>
      <c r="G19" s="530" t="s">
        <v>136</v>
      </c>
      <c r="H19" s="531"/>
      <c r="I19" s="531"/>
      <c r="J19" s="531"/>
      <c r="K19" s="531"/>
      <c r="L19" s="531"/>
      <c r="M19" s="531"/>
      <c r="N19" s="531"/>
      <c r="O19" s="531"/>
      <c r="P19" s="531"/>
      <c r="Q19" s="532"/>
      <c r="R19" s="530" t="s">
        <v>137</v>
      </c>
      <c r="S19" s="531"/>
      <c r="T19" s="531"/>
      <c r="U19" s="531"/>
      <c r="V19" s="531"/>
      <c r="W19" s="531"/>
      <c r="X19" s="531"/>
      <c r="Y19" s="531"/>
      <c r="Z19" s="531"/>
      <c r="AA19" s="531"/>
      <c r="AB19" s="531"/>
      <c r="AC19" s="531"/>
      <c r="AD19" s="531"/>
      <c r="AE19" s="531"/>
      <c r="AF19" s="531"/>
      <c r="AG19" s="531"/>
      <c r="AH19" s="531"/>
      <c r="AI19" s="531"/>
      <c r="AJ19" s="531"/>
      <c r="AK19" s="531"/>
      <c r="AL19" s="531"/>
      <c r="AM19" s="531"/>
      <c r="AN19" s="531"/>
      <c r="AO19" s="531"/>
      <c r="AP19" s="531"/>
      <c r="AQ19" s="531"/>
      <c r="AR19" s="531"/>
      <c r="AS19" s="531"/>
      <c r="AT19" s="531"/>
      <c r="AU19" s="531"/>
      <c r="AV19" s="531"/>
      <c r="AW19" s="531"/>
      <c r="AX19" s="531"/>
      <c r="AY19" s="531"/>
      <c r="AZ19" s="531"/>
      <c r="BA19" s="531"/>
      <c r="BB19" s="531"/>
      <c r="BC19" s="531"/>
      <c r="BD19" s="531"/>
      <c r="BE19" s="531"/>
      <c r="BF19" s="531"/>
      <c r="BG19" s="531"/>
      <c r="BH19" s="532"/>
      <c r="BI19" s="484">
        <v>10</v>
      </c>
      <c r="BJ19" s="485"/>
      <c r="BK19" s="485"/>
      <c r="BL19" s="522"/>
      <c r="BM19" s="546"/>
      <c r="BN19" s="547"/>
      <c r="BO19" s="547"/>
      <c r="BP19" s="548"/>
      <c r="BQ19" s="523"/>
      <c r="BR19" s="524"/>
      <c r="BS19" s="524"/>
      <c r="BT19" s="524"/>
      <c r="BU19" s="538"/>
      <c r="BV19" s="538"/>
      <c r="BW19" s="538"/>
      <c r="BX19" s="538"/>
      <c r="BY19" s="538"/>
      <c r="BZ19" s="538"/>
      <c r="CA19" s="538"/>
      <c r="CB19" s="539"/>
      <c r="CC19" s="525" t="str">
        <f t="shared" ref="CC19:CC24" si="2">IF($BI19*BQ19=0,"",$BI19*BQ19)</f>
        <v/>
      </c>
      <c r="CD19" s="526"/>
      <c r="CE19" s="526"/>
      <c r="CF19" s="527"/>
      <c r="CG19" s="523"/>
      <c r="CH19" s="524"/>
      <c r="CI19" s="524"/>
      <c r="CJ19" s="524"/>
      <c r="CK19" s="561"/>
      <c r="CL19" s="562"/>
      <c r="CM19" s="562"/>
      <c r="CN19" s="562"/>
      <c r="CO19" s="562"/>
      <c r="CP19" s="562"/>
      <c r="CQ19" s="562"/>
      <c r="CR19" s="563"/>
      <c r="CS19" s="525" t="str">
        <f t="shared" ref="CS19:CS24" si="3">IF($BI19*CG19=0,"",$BI19*CG19)</f>
        <v/>
      </c>
      <c r="CT19" s="526"/>
      <c r="CU19" s="526"/>
      <c r="CV19" s="527"/>
      <c r="CW19" s="523">
        <f t="shared" si="0"/>
        <v>0</v>
      </c>
      <c r="CX19" s="524"/>
      <c r="CY19" s="524"/>
      <c r="CZ19" s="524"/>
      <c r="DA19" s="525" t="str">
        <f t="shared" ref="DA19:DA24" si="4">IF($BI19*CW19=0,"",$BI19*CW19)</f>
        <v/>
      </c>
      <c r="DB19" s="526"/>
      <c r="DC19" s="526"/>
      <c r="DD19" s="527"/>
      <c r="DE19" s="523"/>
      <c r="DF19" s="524"/>
      <c r="DG19" s="524"/>
      <c r="DH19" s="524"/>
      <c r="DI19" s="561"/>
      <c r="DJ19" s="562"/>
      <c r="DK19" s="562"/>
      <c r="DL19" s="562"/>
      <c r="DM19" s="562"/>
      <c r="DN19" s="562"/>
      <c r="DO19" s="562"/>
      <c r="DP19" s="563"/>
      <c r="DQ19" s="525" t="str">
        <f t="shared" ref="DQ19:DQ24" si="5">IF($BI19*DE19=0,"",$BI19*DE19)</f>
        <v/>
      </c>
      <c r="DR19" s="526"/>
      <c r="DS19" s="526"/>
      <c r="DT19" s="527"/>
      <c r="DU19" s="523"/>
      <c r="DV19" s="524"/>
      <c r="DW19" s="524"/>
      <c r="DX19" s="524"/>
      <c r="DY19" s="561"/>
      <c r="DZ19" s="562"/>
      <c r="EA19" s="562"/>
      <c r="EB19" s="562"/>
      <c r="EC19" s="562"/>
      <c r="ED19" s="562"/>
      <c r="EE19" s="562"/>
      <c r="EF19" s="562"/>
      <c r="EG19" s="525" t="str">
        <f t="shared" ref="EG19:EG24" si="6">IF($BI19*DU19=0,"",$BI19*DU19)</f>
        <v/>
      </c>
      <c r="EH19" s="526"/>
      <c r="EI19" s="526"/>
      <c r="EJ19" s="527"/>
      <c r="EK19" s="523">
        <f t="shared" si="1"/>
        <v>0</v>
      </c>
      <c r="EL19" s="524"/>
      <c r="EM19" s="524"/>
      <c r="EN19" s="524"/>
      <c r="EO19" s="525" t="str">
        <f t="shared" ref="EO19:EO24" si="7">IF($BI19*EK19=0,"",$BI19*EK19)</f>
        <v/>
      </c>
      <c r="EP19" s="526"/>
      <c r="EQ19" s="526"/>
      <c r="ER19" s="527"/>
    </row>
    <row r="20" spans="1:148" ht="51.95" customHeight="1">
      <c r="A20" s="472" t="s">
        <v>138</v>
      </c>
      <c r="B20" s="473"/>
      <c r="C20" s="473"/>
      <c r="D20" s="473"/>
      <c r="E20" s="473"/>
      <c r="F20" s="474"/>
      <c r="G20" s="530" t="s">
        <v>139</v>
      </c>
      <c r="H20" s="531"/>
      <c r="I20" s="531"/>
      <c r="J20" s="531"/>
      <c r="K20" s="531"/>
      <c r="L20" s="531"/>
      <c r="M20" s="531"/>
      <c r="N20" s="531"/>
      <c r="O20" s="531"/>
      <c r="P20" s="531"/>
      <c r="Q20" s="532"/>
      <c r="R20" s="530" t="s">
        <v>140</v>
      </c>
      <c r="S20" s="531"/>
      <c r="T20" s="531"/>
      <c r="U20" s="531"/>
      <c r="V20" s="531"/>
      <c r="W20" s="531"/>
      <c r="X20" s="531"/>
      <c r="Y20" s="531"/>
      <c r="Z20" s="531"/>
      <c r="AA20" s="531"/>
      <c r="AB20" s="531"/>
      <c r="AC20" s="531"/>
      <c r="AD20" s="531"/>
      <c r="AE20" s="531"/>
      <c r="AF20" s="531"/>
      <c r="AG20" s="531"/>
      <c r="AH20" s="531"/>
      <c r="AI20" s="531"/>
      <c r="AJ20" s="531"/>
      <c r="AK20" s="531"/>
      <c r="AL20" s="531"/>
      <c r="AM20" s="531"/>
      <c r="AN20" s="531"/>
      <c r="AO20" s="531"/>
      <c r="AP20" s="531"/>
      <c r="AQ20" s="531"/>
      <c r="AR20" s="531"/>
      <c r="AS20" s="531"/>
      <c r="AT20" s="531"/>
      <c r="AU20" s="531"/>
      <c r="AV20" s="531"/>
      <c r="AW20" s="531"/>
      <c r="AX20" s="531"/>
      <c r="AY20" s="531"/>
      <c r="AZ20" s="531"/>
      <c r="BA20" s="531"/>
      <c r="BB20" s="531"/>
      <c r="BC20" s="531"/>
      <c r="BD20" s="531"/>
      <c r="BE20" s="531"/>
      <c r="BF20" s="531"/>
      <c r="BG20" s="531"/>
      <c r="BH20" s="532"/>
      <c r="BI20" s="484">
        <v>5</v>
      </c>
      <c r="BJ20" s="485"/>
      <c r="BK20" s="485"/>
      <c r="BL20" s="522"/>
      <c r="BM20" s="540">
        <f>BI20+BI21+BI22+BI23+BI24</f>
        <v>30</v>
      </c>
      <c r="BN20" s="541"/>
      <c r="BO20" s="541"/>
      <c r="BP20" s="542"/>
      <c r="BQ20" s="523"/>
      <c r="BR20" s="524"/>
      <c r="BS20" s="524"/>
      <c r="BT20" s="524"/>
      <c r="BU20" s="549"/>
      <c r="BV20" s="550"/>
      <c r="BW20" s="550"/>
      <c r="BX20" s="550"/>
      <c r="BY20" s="550"/>
      <c r="BZ20" s="550"/>
      <c r="CA20" s="550"/>
      <c r="CB20" s="550"/>
      <c r="CC20" s="525" t="str">
        <f t="shared" si="2"/>
        <v/>
      </c>
      <c r="CD20" s="526"/>
      <c r="CE20" s="526"/>
      <c r="CF20" s="527"/>
      <c r="CG20" s="523"/>
      <c r="CH20" s="524"/>
      <c r="CI20" s="524"/>
      <c r="CJ20" s="524"/>
      <c r="CK20" s="555"/>
      <c r="CL20" s="556"/>
      <c r="CM20" s="556"/>
      <c r="CN20" s="556"/>
      <c r="CO20" s="556"/>
      <c r="CP20" s="556"/>
      <c r="CQ20" s="556"/>
      <c r="CR20" s="557"/>
      <c r="CS20" s="525" t="str">
        <f t="shared" si="3"/>
        <v/>
      </c>
      <c r="CT20" s="526"/>
      <c r="CU20" s="526"/>
      <c r="CV20" s="527"/>
      <c r="CW20" s="523">
        <f t="shared" si="0"/>
        <v>0</v>
      </c>
      <c r="CX20" s="524"/>
      <c r="CY20" s="524"/>
      <c r="CZ20" s="524"/>
      <c r="DA20" s="525" t="str">
        <f t="shared" si="4"/>
        <v/>
      </c>
      <c r="DB20" s="526"/>
      <c r="DC20" s="526"/>
      <c r="DD20" s="527"/>
      <c r="DE20" s="523"/>
      <c r="DF20" s="524"/>
      <c r="DG20" s="524"/>
      <c r="DH20" s="524"/>
      <c r="DI20" s="555"/>
      <c r="DJ20" s="556"/>
      <c r="DK20" s="556"/>
      <c r="DL20" s="556"/>
      <c r="DM20" s="556"/>
      <c r="DN20" s="556"/>
      <c r="DO20" s="556"/>
      <c r="DP20" s="557"/>
      <c r="DQ20" s="525" t="str">
        <f t="shared" si="5"/>
        <v/>
      </c>
      <c r="DR20" s="526"/>
      <c r="DS20" s="526"/>
      <c r="DT20" s="527"/>
      <c r="DU20" s="523"/>
      <c r="DV20" s="524"/>
      <c r="DW20" s="524"/>
      <c r="DX20" s="524"/>
      <c r="DY20" s="555"/>
      <c r="DZ20" s="556"/>
      <c r="EA20" s="556"/>
      <c r="EB20" s="556"/>
      <c r="EC20" s="556"/>
      <c r="ED20" s="556"/>
      <c r="EE20" s="556"/>
      <c r="EF20" s="556"/>
      <c r="EG20" s="525" t="str">
        <f t="shared" si="6"/>
        <v/>
      </c>
      <c r="EH20" s="526"/>
      <c r="EI20" s="526"/>
      <c r="EJ20" s="527"/>
      <c r="EK20" s="523">
        <f t="shared" si="1"/>
        <v>0</v>
      </c>
      <c r="EL20" s="524"/>
      <c r="EM20" s="524"/>
      <c r="EN20" s="524"/>
      <c r="EO20" s="525" t="str">
        <f t="shared" si="7"/>
        <v/>
      </c>
      <c r="EP20" s="526"/>
      <c r="EQ20" s="526"/>
      <c r="ER20" s="527"/>
    </row>
    <row r="21" spans="1:148" ht="51.95" customHeight="1">
      <c r="A21" s="475"/>
      <c r="B21" s="476"/>
      <c r="C21" s="476"/>
      <c r="D21" s="476"/>
      <c r="E21" s="476"/>
      <c r="F21" s="477"/>
      <c r="G21" s="530" t="s">
        <v>141</v>
      </c>
      <c r="H21" s="531"/>
      <c r="I21" s="531"/>
      <c r="J21" s="531"/>
      <c r="K21" s="531"/>
      <c r="L21" s="531"/>
      <c r="M21" s="531"/>
      <c r="N21" s="531"/>
      <c r="O21" s="531"/>
      <c r="P21" s="531"/>
      <c r="Q21" s="532"/>
      <c r="R21" s="530" t="s">
        <v>142</v>
      </c>
      <c r="S21" s="531"/>
      <c r="T21" s="531"/>
      <c r="U21" s="531"/>
      <c r="V21" s="531"/>
      <c r="W21" s="531"/>
      <c r="X21" s="531"/>
      <c r="Y21" s="531"/>
      <c r="Z21" s="531"/>
      <c r="AA21" s="531"/>
      <c r="AB21" s="531"/>
      <c r="AC21" s="531"/>
      <c r="AD21" s="531"/>
      <c r="AE21" s="531"/>
      <c r="AF21" s="531"/>
      <c r="AG21" s="531"/>
      <c r="AH21" s="531"/>
      <c r="AI21" s="531"/>
      <c r="AJ21" s="531"/>
      <c r="AK21" s="531"/>
      <c r="AL21" s="531"/>
      <c r="AM21" s="531"/>
      <c r="AN21" s="531"/>
      <c r="AO21" s="531"/>
      <c r="AP21" s="531"/>
      <c r="AQ21" s="531"/>
      <c r="AR21" s="531"/>
      <c r="AS21" s="531"/>
      <c r="AT21" s="531"/>
      <c r="AU21" s="531"/>
      <c r="AV21" s="531"/>
      <c r="AW21" s="531"/>
      <c r="AX21" s="531"/>
      <c r="AY21" s="531"/>
      <c r="AZ21" s="531"/>
      <c r="BA21" s="531"/>
      <c r="BB21" s="531"/>
      <c r="BC21" s="531"/>
      <c r="BD21" s="531"/>
      <c r="BE21" s="531"/>
      <c r="BF21" s="531"/>
      <c r="BG21" s="531"/>
      <c r="BH21" s="532"/>
      <c r="BI21" s="484">
        <v>10</v>
      </c>
      <c r="BJ21" s="485"/>
      <c r="BK21" s="485"/>
      <c r="BL21" s="522"/>
      <c r="BM21" s="543"/>
      <c r="BN21" s="544"/>
      <c r="BO21" s="544"/>
      <c r="BP21" s="545"/>
      <c r="BQ21" s="523"/>
      <c r="BR21" s="524"/>
      <c r="BS21" s="524"/>
      <c r="BT21" s="524"/>
      <c r="BU21" s="551"/>
      <c r="BV21" s="552"/>
      <c r="BW21" s="552"/>
      <c r="BX21" s="552"/>
      <c r="BY21" s="552"/>
      <c r="BZ21" s="552"/>
      <c r="CA21" s="552"/>
      <c r="CB21" s="552"/>
      <c r="CC21" s="525" t="str">
        <f t="shared" si="2"/>
        <v/>
      </c>
      <c r="CD21" s="526"/>
      <c r="CE21" s="526"/>
      <c r="CF21" s="527"/>
      <c r="CG21" s="523"/>
      <c r="CH21" s="524"/>
      <c r="CI21" s="524"/>
      <c r="CJ21" s="524"/>
      <c r="CK21" s="558"/>
      <c r="CL21" s="559"/>
      <c r="CM21" s="559"/>
      <c r="CN21" s="559"/>
      <c r="CO21" s="559"/>
      <c r="CP21" s="559"/>
      <c r="CQ21" s="559"/>
      <c r="CR21" s="560"/>
      <c r="CS21" s="525" t="str">
        <f t="shared" si="3"/>
        <v/>
      </c>
      <c r="CT21" s="526"/>
      <c r="CU21" s="526"/>
      <c r="CV21" s="527"/>
      <c r="CW21" s="523">
        <f t="shared" si="0"/>
        <v>0</v>
      </c>
      <c r="CX21" s="524"/>
      <c r="CY21" s="524"/>
      <c r="CZ21" s="524"/>
      <c r="DA21" s="525" t="str">
        <f t="shared" si="4"/>
        <v/>
      </c>
      <c r="DB21" s="526"/>
      <c r="DC21" s="526"/>
      <c r="DD21" s="527"/>
      <c r="DE21" s="523"/>
      <c r="DF21" s="524"/>
      <c r="DG21" s="524"/>
      <c r="DH21" s="524"/>
      <c r="DI21" s="558"/>
      <c r="DJ21" s="559"/>
      <c r="DK21" s="559"/>
      <c r="DL21" s="559"/>
      <c r="DM21" s="559"/>
      <c r="DN21" s="559"/>
      <c r="DO21" s="559"/>
      <c r="DP21" s="560"/>
      <c r="DQ21" s="525" t="str">
        <f t="shared" si="5"/>
        <v/>
      </c>
      <c r="DR21" s="526"/>
      <c r="DS21" s="526"/>
      <c r="DT21" s="527"/>
      <c r="DU21" s="523"/>
      <c r="DV21" s="524"/>
      <c r="DW21" s="524"/>
      <c r="DX21" s="524"/>
      <c r="DY21" s="558"/>
      <c r="DZ21" s="559"/>
      <c r="EA21" s="559"/>
      <c r="EB21" s="559"/>
      <c r="EC21" s="559"/>
      <c r="ED21" s="559"/>
      <c r="EE21" s="559"/>
      <c r="EF21" s="559"/>
      <c r="EG21" s="525" t="str">
        <f t="shared" si="6"/>
        <v/>
      </c>
      <c r="EH21" s="526"/>
      <c r="EI21" s="526"/>
      <c r="EJ21" s="527"/>
      <c r="EK21" s="523">
        <f t="shared" si="1"/>
        <v>0</v>
      </c>
      <c r="EL21" s="524"/>
      <c r="EM21" s="524"/>
      <c r="EN21" s="524"/>
      <c r="EO21" s="525" t="str">
        <f t="shared" si="7"/>
        <v/>
      </c>
      <c r="EP21" s="526"/>
      <c r="EQ21" s="526"/>
      <c r="ER21" s="527"/>
    </row>
    <row r="22" spans="1:148" ht="51.95" customHeight="1">
      <c r="A22" s="475"/>
      <c r="B22" s="476"/>
      <c r="C22" s="476"/>
      <c r="D22" s="476"/>
      <c r="E22" s="476"/>
      <c r="F22" s="477"/>
      <c r="G22" s="530" t="s">
        <v>143</v>
      </c>
      <c r="H22" s="531"/>
      <c r="I22" s="531"/>
      <c r="J22" s="531"/>
      <c r="K22" s="531"/>
      <c r="L22" s="531"/>
      <c r="M22" s="531"/>
      <c r="N22" s="531"/>
      <c r="O22" s="531"/>
      <c r="P22" s="531"/>
      <c r="Q22" s="532"/>
      <c r="R22" s="530" t="s">
        <v>144</v>
      </c>
      <c r="S22" s="531"/>
      <c r="T22" s="531"/>
      <c r="U22" s="531"/>
      <c r="V22" s="531"/>
      <c r="W22" s="531"/>
      <c r="X22" s="531"/>
      <c r="Y22" s="531"/>
      <c r="Z22" s="531"/>
      <c r="AA22" s="531"/>
      <c r="AB22" s="531"/>
      <c r="AC22" s="531"/>
      <c r="AD22" s="531"/>
      <c r="AE22" s="531"/>
      <c r="AF22" s="531"/>
      <c r="AG22" s="531"/>
      <c r="AH22" s="531"/>
      <c r="AI22" s="531"/>
      <c r="AJ22" s="531"/>
      <c r="AK22" s="531"/>
      <c r="AL22" s="531"/>
      <c r="AM22" s="531"/>
      <c r="AN22" s="531"/>
      <c r="AO22" s="531"/>
      <c r="AP22" s="531"/>
      <c r="AQ22" s="531"/>
      <c r="AR22" s="531"/>
      <c r="AS22" s="531"/>
      <c r="AT22" s="531"/>
      <c r="AU22" s="531"/>
      <c r="AV22" s="531"/>
      <c r="AW22" s="531"/>
      <c r="AX22" s="531"/>
      <c r="AY22" s="531"/>
      <c r="AZ22" s="531"/>
      <c r="BA22" s="531"/>
      <c r="BB22" s="531"/>
      <c r="BC22" s="531"/>
      <c r="BD22" s="531"/>
      <c r="BE22" s="531"/>
      <c r="BF22" s="531"/>
      <c r="BG22" s="531"/>
      <c r="BH22" s="532"/>
      <c r="BI22" s="484">
        <v>5</v>
      </c>
      <c r="BJ22" s="485"/>
      <c r="BK22" s="485"/>
      <c r="BL22" s="522"/>
      <c r="BM22" s="543"/>
      <c r="BN22" s="544"/>
      <c r="BO22" s="544"/>
      <c r="BP22" s="545"/>
      <c r="BQ22" s="523"/>
      <c r="BR22" s="524"/>
      <c r="BS22" s="524"/>
      <c r="BT22" s="524"/>
      <c r="BU22" s="551"/>
      <c r="BV22" s="552"/>
      <c r="BW22" s="552"/>
      <c r="BX22" s="552"/>
      <c r="BY22" s="552"/>
      <c r="BZ22" s="552"/>
      <c r="CA22" s="552"/>
      <c r="CB22" s="552"/>
      <c r="CC22" s="525" t="str">
        <f t="shared" si="2"/>
        <v/>
      </c>
      <c r="CD22" s="526"/>
      <c r="CE22" s="526"/>
      <c r="CF22" s="527"/>
      <c r="CG22" s="523"/>
      <c r="CH22" s="524"/>
      <c r="CI22" s="524"/>
      <c r="CJ22" s="524"/>
      <c r="CK22" s="558"/>
      <c r="CL22" s="559"/>
      <c r="CM22" s="559"/>
      <c r="CN22" s="559"/>
      <c r="CO22" s="559"/>
      <c r="CP22" s="559"/>
      <c r="CQ22" s="559"/>
      <c r="CR22" s="560"/>
      <c r="CS22" s="525" t="str">
        <f t="shared" si="3"/>
        <v/>
      </c>
      <c r="CT22" s="526"/>
      <c r="CU22" s="526"/>
      <c r="CV22" s="527"/>
      <c r="CW22" s="523">
        <f t="shared" si="0"/>
        <v>0</v>
      </c>
      <c r="CX22" s="524"/>
      <c r="CY22" s="524"/>
      <c r="CZ22" s="524"/>
      <c r="DA22" s="525" t="str">
        <f t="shared" si="4"/>
        <v/>
      </c>
      <c r="DB22" s="526"/>
      <c r="DC22" s="526"/>
      <c r="DD22" s="527"/>
      <c r="DE22" s="523"/>
      <c r="DF22" s="524"/>
      <c r="DG22" s="524"/>
      <c r="DH22" s="524"/>
      <c r="DI22" s="558"/>
      <c r="DJ22" s="559"/>
      <c r="DK22" s="559"/>
      <c r="DL22" s="559"/>
      <c r="DM22" s="559"/>
      <c r="DN22" s="559"/>
      <c r="DO22" s="559"/>
      <c r="DP22" s="560"/>
      <c r="DQ22" s="525" t="str">
        <f t="shared" si="5"/>
        <v/>
      </c>
      <c r="DR22" s="526"/>
      <c r="DS22" s="526"/>
      <c r="DT22" s="527"/>
      <c r="DU22" s="523"/>
      <c r="DV22" s="524"/>
      <c r="DW22" s="524"/>
      <c r="DX22" s="524"/>
      <c r="DY22" s="558"/>
      <c r="DZ22" s="559"/>
      <c r="EA22" s="559"/>
      <c r="EB22" s="559"/>
      <c r="EC22" s="559"/>
      <c r="ED22" s="559"/>
      <c r="EE22" s="559"/>
      <c r="EF22" s="559"/>
      <c r="EG22" s="525" t="str">
        <f t="shared" si="6"/>
        <v/>
      </c>
      <c r="EH22" s="526"/>
      <c r="EI22" s="526"/>
      <c r="EJ22" s="527"/>
      <c r="EK22" s="523">
        <f t="shared" si="1"/>
        <v>0</v>
      </c>
      <c r="EL22" s="524"/>
      <c r="EM22" s="524"/>
      <c r="EN22" s="524"/>
      <c r="EO22" s="525" t="str">
        <f t="shared" si="7"/>
        <v/>
      </c>
      <c r="EP22" s="526"/>
      <c r="EQ22" s="526"/>
      <c r="ER22" s="527"/>
    </row>
    <row r="23" spans="1:148" ht="51.95" customHeight="1">
      <c r="A23" s="475"/>
      <c r="B23" s="476"/>
      <c r="C23" s="476"/>
      <c r="D23" s="476"/>
      <c r="E23" s="476"/>
      <c r="F23" s="477"/>
      <c r="G23" s="530" t="s">
        <v>145</v>
      </c>
      <c r="H23" s="531"/>
      <c r="I23" s="531"/>
      <c r="J23" s="531"/>
      <c r="K23" s="531"/>
      <c r="L23" s="531"/>
      <c r="M23" s="531"/>
      <c r="N23" s="531"/>
      <c r="O23" s="531"/>
      <c r="P23" s="531"/>
      <c r="Q23" s="532"/>
      <c r="R23" s="530" t="s">
        <v>146</v>
      </c>
      <c r="S23" s="531"/>
      <c r="T23" s="531"/>
      <c r="U23" s="531"/>
      <c r="V23" s="531"/>
      <c r="W23" s="531"/>
      <c r="X23" s="531"/>
      <c r="Y23" s="531"/>
      <c r="Z23" s="531"/>
      <c r="AA23" s="531"/>
      <c r="AB23" s="531"/>
      <c r="AC23" s="531"/>
      <c r="AD23" s="531"/>
      <c r="AE23" s="531"/>
      <c r="AF23" s="531"/>
      <c r="AG23" s="531"/>
      <c r="AH23" s="531"/>
      <c r="AI23" s="531"/>
      <c r="AJ23" s="531"/>
      <c r="AK23" s="531"/>
      <c r="AL23" s="531"/>
      <c r="AM23" s="531"/>
      <c r="AN23" s="531"/>
      <c r="AO23" s="531"/>
      <c r="AP23" s="531"/>
      <c r="AQ23" s="531"/>
      <c r="AR23" s="531"/>
      <c r="AS23" s="531"/>
      <c r="AT23" s="531"/>
      <c r="AU23" s="531"/>
      <c r="AV23" s="531"/>
      <c r="AW23" s="531"/>
      <c r="AX23" s="531"/>
      <c r="AY23" s="531"/>
      <c r="AZ23" s="531"/>
      <c r="BA23" s="531"/>
      <c r="BB23" s="531"/>
      <c r="BC23" s="531"/>
      <c r="BD23" s="531"/>
      <c r="BE23" s="531"/>
      <c r="BF23" s="531"/>
      <c r="BG23" s="531"/>
      <c r="BH23" s="532"/>
      <c r="BI23" s="484">
        <v>5</v>
      </c>
      <c r="BJ23" s="485"/>
      <c r="BK23" s="485"/>
      <c r="BL23" s="522"/>
      <c r="BM23" s="543"/>
      <c r="BN23" s="544"/>
      <c r="BO23" s="544"/>
      <c r="BP23" s="545"/>
      <c r="BQ23" s="523"/>
      <c r="BR23" s="524"/>
      <c r="BS23" s="524"/>
      <c r="BT23" s="524"/>
      <c r="BU23" s="551"/>
      <c r="BV23" s="552"/>
      <c r="BW23" s="552"/>
      <c r="BX23" s="552"/>
      <c r="BY23" s="552"/>
      <c r="BZ23" s="552"/>
      <c r="CA23" s="552"/>
      <c r="CB23" s="552"/>
      <c r="CC23" s="525" t="str">
        <f t="shared" si="2"/>
        <v/>
      </c>
      <c r="CD23" s="526"/>
      <c r="CE23" s="526"/>
      <c r="CF23" s="527"/>
      <c r="CG23" s="523"/>
      <c r="CH23" s="524"/>
      <c r="CI23" s="524"/>
      <c r="CJ23" s="524"/>
      <c r="CK23" s="558"/>
      <c r="CL23" s="559"/>
      <c r="CM23" s="559"/>
      <c r="CN23" s="559"/>
      <c r="CO23" s="559"/>
      <c r="CP23" s="559"/>
      <c r="CQ23" s="559"/>
      <c r="CR23" s="560"/>
      <c r="CS23" s="525" t="str">
        <f t="shared" si="3"/>
        <v/>
      </c>
      <c r="CT23" s="526"/>
      <c r="CU23" s="526"/>
      <c r="CV23" s="527"/>
      <c r="CW23" s="523">
        <f t="shared" si="0"/>
        <v>0</v>
      </c>
      <c r="CX23" s="524"/>
      <c r="CY23" s="524"/>
      <c r="CZ23" s="524"/>
      <c r="DA23" s="525" t="str">
        <f t="shared" si="4"/>
        <v/>
      </c>
      <c r="DB23" s="526"/>
      <c r="DC23" s="526"/>
      <c r="DD23" s="527"/>
      <c r="DE23" s="523"/>
      <c r="DF23" s="524"/>
      <c r="DG23" s="524"/>
      <c r="DH23" s="524"/>
      <c r="DI23" s="558"/>
      <c r="DJ23" s="559"/>
      <c r="DK23" s="559"/>
      <c r="DL23" s="559"/>
      <c r="DM23" s="559"/>
      <c r="DN23" s="559"/>
      <c r="DO23" s="559"/>
      <c r="DP23" s="560"/>
      <c r="DQ23" s="525" t="str">
        <f t="shared" si="5"/>
        <v/>
      </c>
      <c r="DR23" s="526"/>
      <c r="DS23" s="526"/>
      <c r="DT23" s="527"/>
      <c r="DU23" s="523"/>
      <c r="DV23" s="524"/>
      <c r="DW23" s="524"/>
      <c r="DX23" s="524"/>
      <c r="DY23" s="558"/>
      <c r="DZ23" s="559"/>
      <c r="EA23" s="559"/>
      <c r="EB23" s="559"/>
      <c r="EC23" s="559"/>
      <c r="ED23" s="559"/>
      <c r="EE23" s="559"/>
      <c r="EF23" s="559"/>
      <c r="EG23" s="525" t="str">
        <f t="shared" si="6"/>
        <v/>
      </c>
      <c r="EH23" s="526"/>
      <c r="EI23" s="526"/>
      <c r="EJ23" s="527"/>
      <c r="EK23" s="523">
        <f t="shared" si="1"/>
        <v>0</v>
      </c>
      <c r="EL23" s="524"/>
      <c r="EM23" s="524"/>
      <c r="EN23" s="524"/>
      <c r="EO23" s="525" t="str">
        <f t="shared" si="7"/>
        <v/>
      </c>
      <c r="EP23" s="526"/>
      <c r="EQ23" s="526"/>
      <c r="ER23" s="527"/>
    </row>
    <row r="24" spans="1:148" ht="51.95" customHeight="1">
      <c r="A24" s="478"/>
      <c r="B24" s="479"/>
      <c r="C24" s="479"/>
      <c r="D24" s="479"/>
      <c r="E24" s="479"/>
      <c r="F24" s="480"/>
      <c r="G24" s="530" t="s">
        <v>147</v>
      </c>
      <c r="H24" s="531"/>
      <c r="I24" s="531"/>
      <c r="J24" s="531"/>
      <c r="K24" s="531"/>
      <c r="L24" s="531"/>
      <c r="M24" s="531"/>
      <c r="N24" s="531"/>
      <c r="O24" s="531"/>
      <c r="P24" s="531"/>
      <c r="Q24" s="532"/>
      <c r="R24" s="530" t="s">
        <v>148</v>
      </c>
      <c r="S24" s="531"/>
      <c r="T24" s="531"/>
      <c r="U24" s="531"/>
      <c r="V24" s="531"/>
      <c r="W24" s="531"/>
      <c r="X24" s="531"/>
      <c r="Y24" s="531"/>
      <c r="Z24" s="531"/>
      <c r="AA24" s="531"/>
      <c r="AB24" s="531"/>
      <c r="AC24" s="531"/>
      <c r="AD24" s="531"/>
      <c r="AE24" s="531"/>
      <c r="AF24" s="531"/>
      <c r="AG24" s="531"/>
      <c r="AH24" s="531"/>
      <c r="AI24" s="531"/>
      <c r="AJ24" s="531"/>
      <c r="AK24" s="531"/>
      <c r="AL24" s="531"/>
      <c r="AM24" s="531"/>
      <c r="AN24" s="531"/>
      <c r="AO24" s="531"/>
      <c r="AP24" s="531"/>
      <c r="AQ24" s="531"/>
      <c r="AR24" s="531"/>
      <c r="AS24" s="531"/>
      <c r="AT24" s="531"/>
      <c r="AU24" s="531"/>
      <c r="AV24" s="531"/>
      <c r="AW24" s="531"/>
      <c r="AX24" s="531"/>
      <c r="AY24" s="531"/>
      <c r="AZ24" s="531"/>
      <c r="BA24" s="531"/>
      <c r="BB24" s="531"/>
      <c r="BC24" s="531"/>
      <c r="BD24" s="531"/>
      <c r="BE24" s="531"/>
      <c r="BF24" s="531"/>
      <c r="BG24" s="531"/>
      <c r="BH24" s="532"/>
      <c r="BI24" s="484">
        <v>5</v>
      </c>
      <c r="BJ24" s="485"/>
      <c r="BK24" s="485"/>
      <c r="BL24" s="522"/>
      <c r="BM24" s="546"/>
      <c r="BN24" s="547"/>
      <c r="BO24" s="547"/>
      <c r="BP24" s="548"/>
      <c r="BQ24" s="523"/>
      <c r="BR24" s="524"/>
      <c r="BS24" s="524"/>
      <c r="BT24" s="524"/>
      <c r="BU24" s="553"/>
      <c r="BV24" s="554"/>
      <c r="BW24" s="554"/>
      <c r="BX24" s="554"/>
      <c r="BY24" s="554"/>
      <c r="BZ24" s="554"/>
      <c r="CA24" s="554"/>
      <c r="CB24" s="554"/>
      <c r="CC24" s="525" t="str">
        <f t="shared" si="2"/>
        <v/>
      </c>
      <c r="CD24" s="526"/>
      <c r="CE24" s="526"/>
      <c r="CF24" s="527"/>
      <c r="CG24" s="523"/>
      <c r="CH24" s="524"/>
      <c r="CI24" s="524"/>
      <c r="CJ24" s="524"/>
      <c r="CK24" s="561"/>
      <c r="CL24" s="562"/>
      <c r="CM24" s="562"/>
      <c r="CN24" s="562"/>
      <c r="CO24" s="562"/>
      <c r="CP24" s="562"/>
      <c r="CQ24" s="562"/>
      <c r="CR24" s="563"/>
      <c r="CS24" s="525" t="str">
        <f t="shared" si="3"/>
        <v/>
      </c>
      <c r="CT24" s="526"/>
      <c r="CU24" s="526"/>
      <c r="CV24" s="527"/>
      <c r="CW24" s="523">
        <f t="shared" si="0"/>
        <v>0</v>
      </c>
      <c r="CX24" s="524"/>
      <c r="CY24" s="524"/>
      <c r="CZ24" s="524"/>
      <c r="DA24" s="525" t="str">
        <f t="shared" si="4"/>
        <v/>
      </c>
      <c r="DB24" s="526"/>
      <c r="DC24" s="526"/>
      <c r="DD24" s="527"/>
      <c r="DE24" s="523"/>
      <c r="DF24" s="524"/>
      <c r="DG24" s="524"/>
      <c r="DH24" s="524"/>
      <c r="DI24" s="561"/>
      <c r="DJ24" s="562"/>
      <c r="DK24" s="562"/>
      <c r="DL24" s="562"/>
      <c r="DM24" s="562"/>
      <c r="DN24" s="562"/>
      <c r="DO24" s="562"/>
      <c r="DP24" s="563"/>
      <c r="DQ24" s="525" t="str">
        <f t="shared" si="5"/>
        <v/>
      </c>
      <c r="DR24" s="526"/>
      <c r="DS24" s="526"/>
      <c r="DT24" s="527"/>
      <c r="DU24" s="523"/>
      <c r="DV24" s="524"/>
      <c r="DW24" s="524"/>
      <c r="DX24" s="524"/>
      <c r="DY24" s="561"/>
      <c r="DZ24" s="562"/>
      <c r="EA24" s="562"/>
      <c r="EB24" s="562"/>
      <c r="EC24" s="562"/>
      <c r="ED24" s="562"/>
      <c r="EE24" s="562"/>
      <c r="EF24" s="562"/>
      <c r="EG24" s="525" t="str">
        <f t="shared" si="6"/>
        <v/>
      </c>
      <c r="EH24" s="526"/>
      <c r="EI24" s="526"/>
      <c r="EJ24" s="527"/>
      <c r="EK24" s="523">
        <f t="shared" si="1"/>
        <v>0</v>
      </c>
      <c r="EL24" s="524"/>
      <c r="EM24" s="524"/>
      <c r="EN24" s="524"/>
      <c r="EO24" s="525" t="str">
        <f t="shared" si="7"/>
        <v/>
      </c>
      <c r="EP24" s="526"/>
      <c r="EQ24" s="526"/>
      <c r="ER24" s="527"/>
    </row>
    <row r="25" spans="1:148" ht="12.75" thickBot="1">
      <c r="A25" s="40" t="s">
        <v>149</v>
      </c>
      <c r="BG25" s="572"/>
      <c r="BH25" s="573"/>
      <c r="BI25" s="574" t="s">
        <v>92</v>
      </c>
      <c r="BJ25" s="575"/>
      <c r="BK25" s="575"/>
      <c r="BL25" s="576"/>
      <c r="BM25" s="574">
        <f>BM20+BM14</f>
        <v>100</v>
      </c>
      <c r="BN25" s="575"/>
      <c r="BO25" s="575"/>
      <c r="BP25" s="576"/>
      <c r="BQ25" s="40">
        <v>4</v>
      </c>
      <c r="BR25" s="40" t="s">
        <v>150</v>
      </c>
      <c r="CC25" s="564" t="str">
        <f>IF(INT(SUM(CC14:CC24)/5)=0,"",INT(SUM(CC14:CC24)/5))</f>
        <v/>
      </c>
      <c r="CD25" s="565"/>
      <c r="CE25" s="565"/>
      <c r="CF25" s="566"/>
      <c r="CH25" s="40" t="s">
        <v>151</v>
      </c>
      <c r="CS25" s="564" t="str">
        <f>IF(INT(SUM(CS14:CS24)/5)=0,"",INT(SUM(CS14:CS24)/5))</f>
        <v/>
      </c>
      <c r="CT25" s="565"/>
      <c r="CU25" s="565"/>
      <c r="CV25" s="566"/>
      <c r="CX25" s="40" t="s">
        <v>152</v>
      </c>
      <c r="DA25" s="564" t="str">
        <f>IF(INT(SUM(DA14:DA24)/5)=0,"",INT(SUM(DA14:DA24)/5))</f>
        <v/>
      </c>
      <c r="DB25" s="565"/>
      <c r="DC25" s="565"/>
      <c r="DD25" s="566"/>
      <c r="DF25" s="40" t="s">
        <v>150</v>
      </c>
      <c r="DQ25" s="564" t="str">
        <f>IF(INT(SUM(DQ14:DQ24)/5)=0,"",INT(SUM(DQ14:DQ24)/5))</f>
        <v/>
      </c>
      <c r="DR25" s="565"/>
      <c r="DS25" s="565"/>
      <c r="DT25" s="566"/>
      <c r="DV25" s="40" t="s">
        <v>151</v>
      </c>
      <c r="EG25" s="564" t="str">
        <f>IF(INT(SUM(EG14:EG24)/5)=0,"",INT(SUM(EG14:EG24)/5))</f>
        <v/>
      </c>
      <c r="EH25" s="565"/>
      <c r="EI25" s="565"/>
      <c r="EJ25" s="566"/>
      <c r="EL25" s="40" t="s">
        <v>152</v>
      </c>
      <c r="EO25" s="564" t="str">
        <f>IF(INT(SUM(EO14:EO24)/5)=0,"",INT(SUM(EO14:EO24)/5))</f>
        <v/>
      </c>
      <c r="EP25" s="565"/>
      <c r="EQ25" s="565"/>
      <c r="ER25" s="566"/>
    </row>
    <row r="26" spans="1:148" ht="12.75" thickTop="1">
      <c r="A26" s="523" t="s">
        <v>94</v>
      </c>
      <c r="B26" s="567"/>
      <c r="C26" s="567"/>
      <c r="D26" s="567"/>
      <c r="E26" s="567"/>
      <c r="F26" s="567"/>
      <c r="G26" s="567"/>
      <c r="H26" s="567"/>
      <c r="I26" s="567"/>
      <c r="J26" s="567"/>
      <c r="K26" s="567"/>
      <c r="L26" s="567"/>
      <c r="M26" s="567"/>
      <c r="N26" s="567"/>
      <c r="O26" s="567"/>
      <c r="P26" s="567"/>
      <c r="Q26" s="567"/>
      <c r="R26" s="567"/>
      <c r="S26" s="567"/>
      <c r="T26" s="567"/>
      <c r="U26" s="567"/>
      <c r="V26" s="567"/>
      <c r="W26" s="567"/>
      <c r="X26" s="567"/>
      <c r="Y26" s="567"/>
      <c r="Z26" s="567"/>
      <c r="AA26" s="567"/>
      <c r="AB26" s="568"/>
      <c r="AC26" s="523" t="s">
        <v>95</v>
      </c>
      <c r="AD26" s="567"/>
      <c r="AE26" s="567"/>
      <c r="AF26" s="567"/>
      <c r="AG26" s="567"/>
      <c r="AH26" s="567"/>
      <c r="AI26" s="567"/>
      <c r="AJ26" s="567"/>
      <c r="AK26" s="567"/>
      <c r="AL26" s="567"/>
      <c r="AM26" s="567"/>
      <c r="AN26" s="567"/>
      <c r="AO26" s="567"/>
      <c r="AP26" s="567"/>
      <c r="AQ26" s="567"/>
      <c r="AR26" s="567"/>
      <c r="AS26" s="567"/>
      <c r="AT26" s="567"/>
      <c r="AU26" s="567"/>
      <c r="AV26" s="567"/>
      <c r="AW26" s="567"/>
      <c r="AX26" s="567"/>
      <c r="AY26" s="567"/>
      <c r="AZ26" s="567"/>
      <c r="BA26" s="567"/>
      <c r="BB26" s="567"/>
      <c r="BC26" s="567"/>
      <c r="BD26" s="567"/>
      <c r="BE26" s="567"/>
      <c r="BF26" s="568"/>
      <c r="BG26" s="96"/>
      <c r="BH26" s="96"/>
    </row>
    <row r="27" spans="1:148" ht="12.75" thickBot="1">
      <c r="A27" s="569" t="s">
        <v>96</v>
      </c>
      <c r="B27" s="569"/>
      <c r="C27" s="569"/>
      <c r="D27" s="569"/>
      <c r="E27" s="569"/>
      <c r="F27" s="569"/>
      <c r="G27" s="569"/>
      <c r="H27" s="569"/>
      <c r="I27" s="569"/>
      <c r="J27" s="569"/>
      <c r="K27" s="569"/>
      <c r="L27" s="569"/>
      <c r="M27" s="569"/>
      <c r="N27" s="570" t="s">
        <v>153</v>
      </c>
      <c r="O27" s="570"/>
      <c r="P27" s="570"/>
      <c r="Q27" s="570"/>
      <c r="R27" s="570"/>
      <c r="S27" s="570"/>
      <c r="T27" s="570"/>
      <c r="U27" s="570"/>
      <c r="V27" s="570"/>
      <c r="W27" s="570"/>
      <c r="X27" s="570"/>
      <c r="Y27" s="570"/>
      <c r="Z27" s="570"/>
      <c r="AA27" s="570"/>
      <c r="AB27" s="571"/>
      <c r="AC27" s="569" t="s">
        <v>96</v>
      </c>
      <c r="AD27" s="569"/>
      <c r="AE27" s="569"/>
      <c r="AF27" s="569"/>
      <c r="AG27" s="569"/>
      <c r="AH27" s="569"/>
      <c r="AI27" s="569"/>
      <c r="AJ27" s="569"/>
      <c r="AK27" s="569"/>
      <c r="AL27" s="569"/>
      <c r="AM27" s="569"/>
      <c r="AN27" s="569"/>
      <c r="AO27" s="569"/>
      <c r="AP27" s="569"/>
      <c r="AQ27" s="569"/>
      <c r="AR27" s="570" t="s">
        <v>153</v>
      </c>
      <c r="AS27" s="570"/>
      <c r="AT27" s="570"/>
      <c r="AU27" s="570"/>
      <c r="AV27" s="570"/>
      <c r="AW27" s="570"/>
      <c r="AX27" s="570"/>
      <c r="AY27" s="570"/>
      <c r="AZ27" s="570"/>
      <c r="BA27" s="570"/>
      <c r="BB27" s="570"/>
      <c r="BC27" s="570"/>
      <c r="BD27" s="570"/>
      <c r="BE27" s="570"/>
      <c r="BF27" s="571"/>
      <c r="BG27" s="96"/>
      <c r="BH27" s="96"/>
    </row>
    <row r="28" spans="1:148" ht="13.5" customHeight="1">
      <c r="A28" s="577"/>
      <c r="B28" s="577"/>
      <c r="C28" s="577"/>
      <c r="D28" s="577"/>
      <c r="E28" s="577"/>
      <c r="F28" s="577"/>
      <c r="G28" s="577"/>
      <c r="H28" s="577"/>
      <c r="I28" s="577"/>
      <c r="J28" s="577"/>
      <c r="K28" s="577"/>
      <c r="L28" s="577"/>
      <c r="M28" s="577"/>
      <c r="N28" s="578"/>
      <c r="O28" s="578"/>
      <c r="P28" s="578"/>
      <c r="Q28" s="578"/>
      <c r="R28" s="578"/>
      <c r="S28" s="578"/>
      <c r="T28" s="578"/>
      <c r="U28" s="578"/>
      <c r="V28" s="578"/>
      <c r="W28" s="578"/>
      <c r="X28" s="578"/>
      <c r="Y28" s="578"/>
      <c r="Z28" s="578"/>
      <c r="AA28" s="578"/>
      <c r="AB28" s="579"/>
      <c r="AC28" s="577"/>
      <c r="AD28" s="577"/>
      <c r="AE28" s="577"/>
      <c r="AF28" s="577"/>
      <c r="AG28" s="577"/>
      <c r="AH28" s="577"/>
      <c r="AI28" s="577"/>
      <c r="AJ28" s="577"/>
      <c r="AK28" s="577"/>
      <c r="AL28" s="577"/>
      <c r="AM28" s="577"/>
      <c r="AN28" s="577"/>
      <c r="AO28" s="577"/>
      <c r="AP28" s="577"/>
      <c r="AQ28" s="577"/>
      <c r="AR28" s="578"/>
      <c r="AS28" s="578"/>
      <c r="AT28" s="578"/>
      <c r="AU28" s="578"/>
      <c r="AV28" s="578"/>
      <c r="AW28" s="578"/>
      <c r="AX28" s="578"/>
      <c r="AY28" s="578"/>
      <c r="AZ28" s="578"/>
      <c r="BA28" s="578"/>
      <c r="BB28" s="578"/>
      <c r="BC28" s="578"/>
      <c r="BD28" s="578"/>
      <c r="BE28" s="578"/>
      <c r="BF28" s="579"/>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92" t="s">
        <v>154</v>
      </c>
      <c r="DJ28" s="192"/>
      <c r="DK28" s="192"/>
      <c r="DL28" s="192"/>
      <c r="DM28" s="192"/>
      <c r="DN28" s="192"/>
      <c r="DO28" s="192"/>
      <c r="DP28" s="192"/>
      <c r="DQ28" s="192" t="s">
        <v>155</v>
      </c>
      <c r="DR28" s="192"/>
      <c r="DS28" s="192"/>
      <c r="DT28" s="192"/>
      <c r="DU28" s="192"/>
      <c r="DV28" s="192"/>
      <c r="DW28" s="192"/>
      <c r="DX28" s="523"/>
      <c r="DY28" s="595" t="s">
        <v>156</v>
      </c>
      <c r="DZ28" s="596"/>
      <c r="EA28" s="596"/>
      <c r="EB28" s="596"/>
      <c r="EC28" s="596"/>
      <c r="ED28" s="596"/>
      <c r="EE28" s="596"/>
      <c r="EF28" s="597"/>
      <c r="EG28" s="96"/>
      <c r="EH28" s="96"/>
      <c r="EI28" s="173"/>
      <c r="EJ28" s="173"/>
      <c r="EK28" s="173"/>
      <c r="EL28" s="173"/>
      <c r="EM28" s="173"/>
      <c r="EN28" s="173"/>
      <c r="EO28" s="173"/>
      <c r="EP28" s="173"/>
      <c r="EQ28" s="173"/>
      <c r="ER28" s="173"/>
    </row>
    <row r="29" spans="1:148" ht="12" customHeight="1">
      <c r="A29" s="577"/>
      <c r="B29" s="577"/>
      <c r="C29" s="577"/>
      <c r="D29" s="577"/>
      <c r="E29" s="577"/>
      <c r="F29" s="577"/>
      <c r="G29" s="577"/>
      <c r="H29" s="577"/>
      <c r="I29" s="577"/>
      <c r="J29" s="577"/>
      <c r="K29" s="577"/>
      <c r="L29" s="577"/>
      <c r="M29" s="577"/>
      <c r="N29" s="580"/>
      <c r="O29" s="580"/>
      <c r="P29" s="580"/>
      <c r="Q29" s="580"/>
      <c r="R29" s="580"/>
      <c r="S29" s="580"/>
      <c r="T29" s="580"/>
      <c r="U29" s="580"/>
      <c r="V29" s="580"/>
      <c r="W29" s="580"/>
      <c r="X29" s="580"/>
      <c r="Y29" s="580"/>
      <c r="Z29" s="580"/>
      <c r="AA29" s="580"/>
      <c r="AB29" s="581"/>
      <c r="AC29" s="577"/>
      <c r="AD29" s="577"/>
      <c r="AE29" s="577"/>
      <c r="AF29" s="577"/>
      <c r="AG29" s="577"/>
      <c r="AH29" s="577"/>
      <c r="AI29" s="577"/>
      <c r="AJ29" s="577"/>
      <c r="AK29" s="577"/>
      <c r="AL29" s="577"/>
      <c r="AM29" s="577"/>
      <c r="AN29" s="577"/>
      <c r="AO29" s="577"/>
      <c r="AP29" s="577"/>
      <c r="AQ29" s="577"/>
      <c r="AR29" s="580"/>
      <c r="AS29" s="580"/>
      <c r="AT29" s="580"/>
      <c r="AU29" s="580"/>
      <c r="AV29" s="580"/>
      <c r="AW29" s="580"/>
      <c r="AX29" s="580"/>
      <c r="AY29" s="580"/>
      <c r="AZ29" s="580"/>
      <c r="BA29" s="580"/>
      <c r="BB29" s="580"/>
      <c r="BC29" s="580"/>
      <c r="BD29" s="580"/>
      <c r="BE29" s="580"/>
      <c r="BF29" s="581"/>
      <c r="BR29" s="61" t="s">
        <v>157</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247" t="s">
        <v>158</v>
      </c>
      <c r="DJ29" s="253"/>
      <c r="DK29" s="253"/>
      <c r="DL29" s="253"/>
      <c r="DM29" s="253"/>
      <c r="DN29" s="253"/>
      <c r="DO29" s="253"/>
      <c r="DP29" s="248"/>
      <c r="DQ29" s="598" t="str">
        <f>CS25</f>
        <v/>
      </c>
      <c r="DR29" s="599"/>
      <c r="DS29" s="599"/>
      <c r="DT29" s="599"/>
      <c r="DU29" s="599"/>
      <c r="DV29" s="599"/>
      <c r="DW29" s="599"/>
      <c r="DX29" s="599"/>
      <c r="DY29" s="604" t="str">
        <f>DA25</f>
        <v/>
      </c>
      <c r="DZ29" s="605"/>
      <c r="EA29" s="605"/>
      <c r="EB29" s="605"/>
      <c r="EC29" s="605"/>
      <c r="ED29" s="605"/>
      <c r="EE29" s="605"/>
      <c r="EF29" s="606"/>
      <c r="EG29" s="140"/>
      <c r="EH29" s="140"/>
      <c r="EI29" s="174"/>
      <c r="EJ29" s="174"/>
      <c r="EK29" s="174"/>
      <c r="EL29" s="174"/>
      <c r="EM29" s="174"/>
      <c r="EN29" s="174"/>
      <c r="EO29" s="174"/>
      <c r="EP29" s="174"/>
      <c r="EQ29" s="174"/>
      <c r="ER29" s="174"/>
    </row>
    <row r="30" spans="1:148" ht="12" customHeight="1">
      <c r="A30" s="577"/>
      <c r="B30" s="577"/>
      <c r="C30" s="577"/>
      <c r="D30" s="577"/>
      <c r="E30" s="577"/>
      <c r="F30" s="577"/>
      <c r="G30" s="577"/>
      <c r="H30" s="577"/>
      <c r="I30" s="577"/>
      <c r="J30" s="577"/>
      <c r="K30" s="577"/>
      <c r="L30" s="577"/>
      <c r="M30" s="577"/>
      <c r="N30" s="580"/>
      <c r="O30" s="580"/>
      <c r="P30" s="580"/>
      <c r="Q30" s="580"/>
      <c r="R30" s="580"/>
      <c r="S30" s="580"/>
      <c r="T30" s="580"/>
      <c r="U30" s="580"/>
      <c r="V30" s="580"/>
      <c r="W30" s="580"/>
      <c r="X30" s="580"/>
      <c r="Y30" s="580"/>
      <c r="Z30" s="580"/>
      <c r="AA30" s="580"/>
      <c r="AB30" s="581"/>
      <c r="AC30" s="577"/>
      <c r="AD30" s="577"/>
      <c r="AE30" s="577"/>
      <c r="AF30" s="577"/>
      <c r="AG30" s="577"/>
      <c r="AH30" s="577"/>
      <c r="AI30" s="577"/>
      <c r="AJ30" s="577"/>
      <c r="AK30" s="577"/>
      <c r="AL30" s="577"/>
      <c r="AM30" s="577"/>
      <c r="AN30" s="577"/>
      <c r="AO30" s="577"/>
      <c r="AP30" s="577"/>
      <c r="AQ30" s="577"/>
      <c r="AR30" s="580"/>
      <c r="AS30" s="580"/>
      <c r="AT30" s="580"/>
      <c r="AU30" s="580"/>
      <c r="AV30" s="580"/>
      <c r="AW30" s="580"/>
      <c r="AX30" s="580"/>
      <c r="AY30" s="580"/>
      <c r="AZ30" s="580"/>
      <c r="BA30" s="580"/>
      <c r="BB30" s="580"/>
      <c r="BC30" s="580"/>
      <c r="BD30" s="580"/>
      <c r="BE30" s="580"/>
      <c r="BF30" s="581"/>
      <c r="BR30" s="61"/>
      <c r="BS30" s="40" t="s">
        <v>159</v>
      </c>
      <c r="CH30" s="64"/>
      <c r="CW30" s="14"/>
      <c r="CX30" s="14"/>
      <c r="CY30" s="14"/>
      <c r="CZ30" s="14"/>
      <c r="DA30" s="14"/>
      <c r="DB30" s="14"/>
      <c r="DC30" s="14"/>
      <c r="DD30" s="14"/>
      <c r="DE30" s="139"/>
      <c r="DF30" s="139"/>
      <c r="DG30" s="139"/>
      <c r="DH30" s="139"/>
      <c r="DI30" s="249"/>
      <c r="DJ30" s="254"/>
      <c r="DK30" s="254"/>
      <c r="DL30" s="254"/>
      <c r="DM30" s="254"/>
      <c r="DN30" s="254"/>
      <c r="DO30" s="254"/>
      <c r="DP30" s="250"/>
      <c r="DQ30" s="600"/>
      <c r="DR30" s="601"/>
      <c r="DS30" s="601"/>
      <c r="DT30" s="601"/>
      <c r="DU30" s="601"/>
      <c r="DV30" s="601"/>
      <c r="DW30" s="601"/>
      <c r="DX30" s="601"/>
      <c r="DY30" s="607"/>
      <c r="DZ30" s="608"/>
      <c r="EA30" s="608"/>
      <c r="EB30" s="608"/>
      <c r="EC30" s="608"/>
      <c r="ED30" s="608"/>
      <c r="EE30" s="608"/>
      <c r="EF30" s="609"/>
      <c r="EG30" s="140"/>
      <c r="EH30" s="140"/>
      <c r="EI30" s="175"/>
      <c r="EJ30" s="174"/>
      <c r="EK30" s="174"/>
      <c r="EL30" s="174"/>
      <c r="EM30" s="174"/>
      <c r="EN30" s="174"/>
      <c r="EO30" s="174"/>
      <c r="EP30" s="174"/>
      <c r="EQ30" s="174"/>
      <c r="ER30" s="174"/>
    </row>
    <row r="31" spans="1:148" ht="12.75" customHeight="1" thickBot="1">
      <c r="A31" s="577"/>
      <c r="B31" s="577"/>
      <c r="C31" s="577"/>
      <c r="D31" s="577"/>
      <c r="E31" s="577"/>
      <c r="F31" s="577"/>
      <c r="G31" s="577"/>
      <c r="H31" s="577"/>
      <c r="I31" s="577"/>
      <c r="J31" s="577"/>
      <c r="K31" s="577"/>
      <c r="L31" s="577"/>
      <c r="M31" s="577"/>
      <c r="N31" s="580"/>
      <c r="O31" s="580"/>
      <c r="P31" s="580"/>
      <c r="Q31" s="580"/>
      <c r="R31" s="580"/>
      <c r="S31" s="580"/>
      <c r="T31" s="580"/>
      <c r="U31" s="580"/>
      <c r="V31" s="580"/>
      <c r="W31" s="580"/>
      <c r="X31" s="580"/>
      <c r="Y31" s="580"/>
      <c r="Z31" s="580"/>
      <c r="AA31" s="580"/>
      <c r="AB31" s="581"/>
      <c r="AC31" s="577"/>
      <c r="AD31" s="577"/>
      <c r="AE31" s="577"/>
      <c r="AF31" s="577"/>
      <c r="AG31" s="577"/>
      <c r="AH31" s="577"/>
      <c r="AI31" s="577"/>
      <c r="AJ31" s="577"/>
      <c r="AK31" s="577"/>
      <c r="AL31" s="577"/>
      <c r="AM31" s="577"/>
      <c r="AN31" s="577"/>
      <c r="AO31" s="577"/>
      <c r="AP31" s="577"/>
      <c r="AQ31" s="577"/>
      <c r="AR31" s="580"/>
      <c r="AS31" s="580"/>
      <c r="AT31" s="580"/>
      <c r="AU31" s="580"/>
      <c r="AV31" s="580"/>
      <c r="AW31" s="580"/>
      <c r="AX31" s="580"/>
      <c r="AY31" s="580"/>
      <c r="AZ31" s="580"/>
      <c r="BA31" s="580"/>
      <c r="BB31" s="580"/>
      <c r="BC31" s="580"/>
      <c r="BD31" s="580"/>
      <c r="BE31" s="580"/>
      <c r="BF31" s="581"/>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251"/>
      <c r="DJ31" s="255"/>
      <c r="DK31" s="255"/>
      <c r="DL31" s="255"/>
      <c r="DM31" s="255"/>
      <c r="DN31" s="255"/>
      <c r="DO31" s="255"/>
      <c r="DP31" s="252"/>
      <c r="DQ31" s="602"/>
      <c r="DR31" s="603"/>
      <c r="DS31" s="603"/>
      <c r="DT31" s="603"/>
      <c r="DU31" s="603"/>
      <c r="DV31" s="603"/>
      <c r="DW31" s="603"/>
      <c r="DX31" s="603"/>
      <c r="DY31" s="607"/>
      <c r="DZ31" s="608"/>
      <c r="EA31" s="608"/>
      <c r="EB31" s="608"/>
      <c r="EC31" s="608"/>
      <c r="ED31" s="608"/>
      <c r="EE31" s="608"/>
      <c r="EF31" s="609"/>
      <c r="EG31" s="140"/>
      <c r="EH31" s="140"/>
      <c r="EI31" s="175"/>
      <c r="EJ31" s="174"/>
      <c r="EK31" s="174"/>
      <c r="EL31" s="174"/>
      <c r="EM31" s="174"/>
      <c r="EN31" s="174"/>
      <c r="EO31" s="174"/>
      <c r="EP31" s="174"/>
      <c r="EQ31" s="174"/>
      <c r="ER31" s="174"/>
    </row>
    <row r="32" spans="1:148" ht="12" customHeight="1">
      <c r="A32" s="577"/>
      <c r="B32" s="577"/>
      <c r="C32" s="577"/>
      <c r="D32" s="577"/>
      <c r="E32" s="577"/>
      <c r="F32" s="577"/>
      <c r="G32" s="577"/>
      <c r="H32" s="577"/>
      <c r="I32" s="577"/>
      <c r="J32" s="577"/>
      <c r="K32" s="577"/>
      <c r="L32" s="577"/>
      <c r="M32" s="577"/>
      <c r="N32" s="580"/>
      <c r="O32" s="580"/>
      <c r="P32" s="580"/>
      <c r="Q32" s="580"/>
      <c r="R32" s="580"/>
      <c r="S32" s="580"/>
      <c r="T32" s="580"/>
      <c r="U32" s="580"/>
      <c r="V32" s="580"/>
      <c r="W32" s="580"/>
      <c r="X32" s="580"/>
      <c r="Y32" s="580"/>
      <c r="Z32" s="580"/>
      <c r="AA32" s="580"/>
      <c r="AB32" s="581"/>
      <c r="AC32" s="577"/>
      <c r="AD32" s="577"/>
      <c r="AE32" s="577"/>
      <c r="AF32" s="577"/>
      <c r="AG32" s="577"/>
      <c r="AH32" s="577"/>
      <c r="AI32" s="577"/>
      <c r="AJ32" s="577"/>
      <c r="AK32" s="577"/>
      <c r="AL32" s="577"/>
      <c r="AM32" s="577"/>
      <c r="AN32" s="577"/>
      <c r="AO32" s="577"/>
      <c r="AP32" s="577"/>
      <c r="AQ32" s="577"/>
      <c r="AR32" s="580"/>
      <c r="AS32" s="580"/>
      <c r="AT32" s="580"/>
      <c r="AU32" s="580"/>
      <c r="AV32" s="580"/>
      <c r="AW32" s="580"/>
      <c r="AX32" s="580"/>
      <c r="AY32" s="580"/>
      <c r="AZ32" s="580"/>
      <c r="BA32" s="580"/>
      <c r="BB32" s="580"/>
      <c r="BC32" s="580"/>
      <c r="BD32" s="580"/>
      <c r="BE32" s="580"/>
      <c r="BF32" s="581"/>
      <c r="CW32" s="14"/>
      <c r="CX32" s="14"/>
      <c r="CY32" s="14"/>
      <c r="CZ32" s="14"/>
      <c r="DA32" s="14"/>
      <c r="DB32" s="14"/>
      <c r="DC32" s="14"/>
      <c r="DD32" s="14"/>
      <c r="DE32" s="139"/>
      <c r="DF32" s="139"/>
      <c r="DG32" s="139"/>
      <c r="DH32" s="139"/>
      <c r="DI32" s="247" t="s">
        <v>160</v>
      </c>
      <c r="DJ32" s="253"/>
      <c r="DK32" s="253"/>
      <c r="DL32" s="253"/>
      <c r="DM32" s="253"/>
      <c r="DN32" s="253"/>
      <c r="DO32" s="253"/>
      <c r="DP32" s="248"/>
      <c r="DQ32" s="593" t="str">
        <f>EG25</f>
        <v/>
      </c>
      <c r="DR32" s="593"/>
      <c r="DS32" s="593"/>
      <c r="DT32" s="593"/>
      <c r="DU32" s="593"/>
      <c r="DV32" s="593"/>
      <c r="DW32" s="593"/>
      <c r="DX32" s="594"/>
      <c r="DY32" s="584" t="str">
        <f>EO25</f>
        <v/>
      </c>
      <c r="DZ32" s="585"/>
      <c r="EA32" s="585"/>
      <c r="EB32" s="585"/>
      <c r="EC32" s="585"/>
      <c r="ED32" s="585"/>
      <c r="EE32" s="585"/>
      <c r="EF32" s="586"/>
      <c r="EG32" s="140"/>
      <c r="EH32" s="140"/>
      <c r="EI32" s="174"/>
      <c r="EJ32" s="174"/>
      <c r="EK32" s="174"/>
      <c r="EL32" s="174"/>
      <c r="EM32" s="174"/>
      <c r="EN32" s="174"/>
      <c r="EO32" s="174"/>
      <c r="EP32" s="174"/>
      <c r="EQ32" s="174"/>
      <c r="ER32" s="174"/>
    </row>
    <row r="33" spans="1:148" ht="12" customHeight="1">
      <c r="A33" s="577"/>
      <c r="B33" s="577"/>
      <c r="C33" s="577"/>
      <c r="D33" s="577"/>
      <c r="E33" s="577"/>
      <c r="F33" s="577"/>
      <c r="G33" s="577"/>
      <c r="H33" s="577"/>
      <c r="I33" s="577"/>
      <c r="J33" s="577"/>
      <c r="K33" s="577"/>
      <c r="L33" s="577"/>
      <c r="M33" s="577"/>
      <c r="N33" s="580"/>
      <c r="O33" s="580"/>
      <c r="P33" s="580"/>
      <c r="Q33" s="580"/>
      <c r="R33" s="580"/>
      <c r="S33" s="580"/>
      <c r="T33" s="580"/>
      <c r="U33" s="580"/>
      <c r="V33" s="580"/>
      <c r="W33" s="580"/>
      <c r="X33" s="580"/>
      <c r="Y33" s="580"/>
      <c r="Z33" s="580"/>
      <c r="AA33" s="580"/>
      <c r="AB33" s="581"/>
      <c r="AC33" s="577"/>
      <c r="AD33" s="577"/>
      <c r="AE33" s="577"/>
      <c r="AF33" s="577"/>
      <c r="AG33" s="577"/>
      <c r="AH33" s="577"/>
      <c r="AI33" s="577"/>
      <c r="AJ33" s="577"/>
      <c r="AK33" s="577"/>
      <c r="AL33" s="577"/>
      <c r="AM33" s="577"/>
      <c r="AN33" s="577"/>
      <c r="AO33" s="577"/>
      <c r="AP33" s="577"/>
      <c r="AQ33" s="577"/>
      <c r="AR33" s="580"/>
      <c r="AS33" s="580"/>
      <c r="AT33" s="580"/>
      <c r="AU33" s="580"/>
      <c r="AV33" s="580"/>
      <c r="AW33" s="580"/>
      <c r="AX33" s="580"/>
      <c r="AY33" s="580"/>
      <c r="AZ33" s="580"/>
      <c r="BA33" s="580"/>
      <c r="BB33" s="580"/>
      <c r="BC33" s="580"/>
      <c r="BD33" s="580"/>
      <c r="BE33" s="580"/>
      <c r="BF33" s="581"/>
      <c r="CW33" s="14"/>
      <c r="CX33" s="14"/>
      <c r="CY33" s="14"/>
      <c r="CZ33" s="14"/>
      <c r="DA33" s="14"/>
      <c r="DB33" s="14"/>
      <c r="DC33" s="14"/>
      <c r="DD33" s="14"/>
      <c r="DE33" s="139"/>
      <c r="DF33" s="139"/>
      <c r="DG33" s="139"/>
      <c r="DH33" s="139"/>
      <c r="DI33" s="249"/>
      <c r="DJ33" s="254"/>
      <c r="DK33" s="254"/>
      <c r="DL33" s="254"/>
      <c r="DM33" s="254"/>
      <c r="DN33" s="254"/>
      <c r="DO33" s="254"/>
      <c r="DP33" s="250"/>
      <c r="DQ33" s="593"/>
      <c r="DR33" s="593"/>
      <c r="DS33" s="593"/>
      <c r="DT33" s="593"/>
      <c r="DU33" s="593"/>
      <c r="DV33" s="593"/>
      <c r="DW33" s="593"/>
      <c r="DX33" s="594"/>
      <c r="DY33" s="587"/>
      <c r="DZ33" s="588"/>
      <c r="EA33" s="588"/>
      <c r="EB33" s="588"/>
      <c r="EC33" s="588"/>
      <c r="ED33" s="588"/>
      <c r="EE33" s="588"/>
      <c r="EF33" s="589"/>
      <c r="EG33" s="140"/>
      <c r="EH33" s="140"/>
      <c r="EI33" s="174"/>
      <c r="EJ33" s="174"/>
      <c r="EK33" s="174"/>
      <c r="EL33" s="174"/>
      <c r="EM33" s="174"/>
      <c r="EN33" s="174"/>
      <c r="EO33" s="174"/>
      <c r="EP33" s="174"/>
      <c r="EQ33" s="174"/>
      <c r="ER33" s="174"/>
    </row>
    <row r="34" spans="1:148" ht="12.75" customHeight="1" thickBot="1">
      <c r="A34" s="577"/>
      <c r="B34" s="577"/>
      <c r="C34" s="577"/>
      <c r="D34" s="577"/>
      <c r="E34" s="577"/>
      <c r="F34" s="577"/>
      <c r="G34" s="577"/>
      <c r="H34" s="577"/>
      <c r="I34" s="577"/>
      <c r="J34" s="577"/>
      <c r="K34" s="577"/>
      <c r="L34" s="577"/>
      <c r="M34" s="577"/>
      <c r="N34" s="582"/>
      <c r="O34" s="582"/>
      <c r="P34" s="582"/>
      <c r="Q34" s="582"/>
      <c r="R34" s="582"/>
      <c r="S34" s="582"/>
      <c r="T34" s="582"/>
      <c r="U34" s="582"/>
      <c r="V34" s="582"/>
      <c r="W34" s="582"/>
      <c r="X34" s="582"/>
      <c r="Y34" s="582"/>
      <c r="Z34" s="582"/>
      <c r="AA34" s="582"/>
      <c r="AB34" s="583"/>
      <c r="AC34" s="577"/>
      <c r="AD34" s="577"/>
      <c r="AE34" s="577"/>
      <c r="AF34" s="577"/>
      <c r="AG34" s="577"/>
      <c r="AH34" s="577"/>
      <c r="AI34" s="577"/>
      <c r="AJ34" s="577"/>
      <c r="AK34" s="577"/>
      <c r="AL34" s="577"/>
      <c r="AM34" s="577"/>
      <c r="AN34" s="577"/>
      <c r="AO34" s="577"/>
      <c r="AP34" s="577"/>
      <c r="AQ34" s="577"/>
      <c r="AR34" s="582"/>
      <c r="AS34" s="582"/>
      <c r="AT34" s="582"/>
      <c r="AU34" s="582"/>
      <c r="AV34" s="582"/>
      <c r="AW34" s="582"/>
      <c r="AX34" s="582"/>
      <c r="AY34" s="582"/>
      <c r="AZ34" s="582"/>
      <c r="BA34" s="582"/>
      <c r="BB34" s="582"/>
      <c r="BC34" s="582"/>
      <c r="BD34" s="582"/>
      <c r="BE34" s="582"/>
      <c r="BF34" s="583"/>
      <c r="CW34" s="14"/>
      <c r="CX34" s="14"/>
      <c r="CY34" s="14"/>
      <c r="CZ34" s="14"/>
      <c r="DA34" s="14"/>
      <c r="DB34" s="14"/>
      <c r="DC34" s="14"/>
      <c r="DD34" s="14"/>
      <c r="DE34" s="139"/>
      <c r="DF34" s="139"/>
      <c r="DG34" s="139"/>
      <c r="DH34" s="139"/>
      <c r="DI34" s="251"/>
      <c r="DJ34" s="255"/>
      <c r="DK34" s="255"/>
      <c r="DL34" s="255"/>
      <c r="DM34" s="255"/>
      <c r="DN34" s="255"/>
      <c r="DO34" s="255"/>
      <c r="DP34" s="252"/>
      <c r="DQ34" s="593"/>
      <c r="DR34" s="593"/>
      <c r="DS34" s="593"/>
      <c r="DT34" s="593"/>
      <c r="DU34" s="593"/>
      <c r="DV34" s="593"/>
      <c r="DW34" s="593"/>
      <c r="DX34" s="594"/>
      <c r="DY34" s="590"/>
      <c r="DZ34" s="591"/>
      <c r="EA34" s="591"/>
      <c r="EB34" s="591"/>
      <c r="EC34" s="591"/>
      <c r="ED34" s="591"/>
      <c r="EE34" s="591"/>
      <c r="EF34" s="592"/>
      <c r="EG34" s="140"/>
      <c r="EH34" s="140"/>
      <c r="EI34" s="140"/>
      <c r="EJ34" s="140"/>
      <c r="EK34" s="140"/>
      <c r="EL34" s="140"/>
      <c r="EM34" s="140"/>
      <c r="EN34" s="140"/>
      <c r="EO34" s="18"/>
      <c r="EP34" s="18"/>
      <c r="EQ34" s="18"/>
      <c r="ER34" s="18"/>
    </row>
  </sheetData>
  <mergeCells count="281">
    <mergeCell ref="EL6:EQ7"/>
    <mergeCell ref="DW8:DY9"/>
    <mergeCell ref="DZ8:EE9"/>
    <mergeCell ref="EF8:EK9"/>
    <mergeCell ref="EL8:EQ9"/>
    <mergeCell ref="DR6:DV9"/>
    <mergeCell ref="DW6:DY7"/>
    <mergeCell ref="DZ6:EE7"/>
    <mergeCell ref="EF6:EK7"/>
    <mergeCell ref="DQ18:DT18"/>
    <mergeCell ref="DU18:DX18"/>
    <mergeCell ref="EG18:EJ18"/>
    <mergeCell ref="EK18:EN18"/>
    <mergeCell ref="EO18:ER18"/>
    <mergeCell ref="CK13:CR13"/>
    <mergeCell ref="CK14:CR19"/>
    <mergeCell ref="DI13:DP13"/>
    <mergeCell ref="DY13:EF13"/>
    <mergeCell ref="DI14:DP19"/>
    <mergeCell ref="EO19:ER19"/>
    <mergeCell ref="DQ19:DT19"/>
    <mergeCell ref="DU19:DX19"/>
    <mergeCell ref="EG19:EJ19"/>
    <mergeCell ref="EK19:EN19"/>
    <mergeCell ref="DY14:EF19"/>
    <mergeCell ref="EK17:EN17"/>
    <mergeCell ref="EO17:ER17"/>
    <mergeCell ref="DQ17:DT17"/>
    <mergeCell ref="DU17:DX17"/>
    <mergeCell ref="EG17:EJ17"/>
    <mergeCell ref="EG16:EJ16"/>
    <mergeCell ref="EK16:EN16"/>
    <mergeCell ref="EO16:ER16"/>
    <mergeCell ref="EL1:EQ1"/>
    <mergeCell ref="DR2:DV5"/>
    <mergeCell ref="DW2:DY3"/>
    <mergeCell ref="DZ2:EE3"/>
    <mergeCell ref="EF2:EK3"/>
    <mergeCell ref="EL2:EQ3"/>
    <mergeCell ref="DW4:DY5"/>
    <mergeCell ref="DZ4:EE5"/>
    <mergeCell ref="EF4:EK5"/>
    <mergeCell ref="EL4:EQ5"/>
    <mergeCell ref="DR1:DY1"/>
    <mergeCell ref="DZ1:EE1"/>
    <mergeCell ref="EF1:EK1"/>
    <mergeCell ref="DU15:DX15"/>
    <mergeCell ref="EG15:EJ15"/>
    <mergeCell ref="EK15:EN15"/>
    <mergeCell ref="EO15:ER15"/>
    <mergeCell ref="DQ15:DT15"/>
    <mergeCell ref="DQ14:DT14"/>
    <mergeCell ref="DU14:DX14"/>
    <mergeCell ref="EG14:EJ14"/>
    <mergeCell ref="EK14:EN14"/>
    <mergeCell ref="EO14:ER14"/>
    <mergeCell ref="DE16:DH16"/>
    <mergeCell ref="G16:Q16"/>
    <mergeCell ref="R16:BH16"/>
    <mergeCell ref="CW16:CZ16"/>
    <mergeCell ref="CC17:CF17"/>
    <mergeCell ref="CG17:CJ17"/>
    <mergeCell ref="CS17:CV17"/>
    <mergeCell ref="DQ16:DT16"/>
    <mergeCell ref="DU16:DX16"/>
    <mergeCell ref="CS16:CV16"/>
    <mergeCell ref="A28:M34"/>
    <mergeCell ref="N28:AB34"/>
    <mergeCell ref="AC28:AQ34"/>
    <mergeCell ref="AR28:BF34"/>
    <mergeCell ref="EG25:EJ25"/>
    <mergeCell ref="DI28:DP28"/>
    <mergeCell ref="DI29:DP31"/>
    <mergeCell ref="DI32:DP34"/>
    <mergeCell ref="DY32:EF34"/>
    <mergeCell ref="DQ32:DX34"/>
    <mergeCell ref="DQ28:DX28"/>
    <mergeCell ref="DY28:EF28"/>
    <mergeCell ref="DQ29:DX31"/>
    <mergeCell ref="DY29:EF31"/>
    <mergeCell ref="EO25:ER25"/>
    <mergeCell ref="A26:AB26"/>
    <mergeCell ref="AC26:BF26"/>
    <mergeCell ref="A27:M27"/>
    <mergeCell ref="N27:AB27"/>
    <mergeCell ref="AC27:AQ27"/>
    <mergeCell ref="AR27:BF27"/>
    <mergeCell ref="BG25:BH25"/>
    <mergeCell ref="BI25:BL25"/>
    <mergeCell ref="BM25:BP25"/>
    <mergeCell ref="CC25:CF25"/>
    <mergeCell ref="CS25:CV25"/>
    <mergeCell ref="DA25:DD25"/>
    <mergeCell ref="DQ25:DT25"/>
    <mergeCell ref="G22:Q22"/>
    <mergeCell ref="R22:BH22"/>
    <mergeCell ref="EK24:EN24"/>
    <mergeCell ref="EO24:ER24"/>
    <mergeCell ref="CW24:CZ24"/>
    <mergeCell ref="DA24:DD24"/>
    <mergeCell ref="DE24:DH24"/>
    <mergeCell ref="DQ24:DT24"/>
    <mergeCell ref="DU24:DX24"/>
    <mergeCell ref="EG24:EJ24"/>
    <mergeCell ref="DI20:DP24"/>
    <mergeCell ref="DY20:EF24"/>
    <mergeCell ref="EG23:EJ23"/>
    <mergeCell ref="EK23:EN23"/>
    <mergeCell ref="EO23:ER23"/>
    <mergeCell ref="DA23:DD23"/>
    <mergeCell ref="DE23:DH23"/>
    <mergeCell ref="DQ23:DT23"/>
    <mergeCell ref="DU23:DX23"/>
    <mergeCell ref="DE22:DH22"/>
    <mergeCell ref="DQ22:DT22"/>
    <mergeCell ref="DU22:DX22"/>
    <mergeCell ref="EG22:EJ22"/>
    <mergeCell ref="EK22:EN22"/>
    <mergeCell ref="DQ21:DT21"/>
    <mergeCell ref="DU21:DX21"/>
    <mergeCell ref="EG21:EJ21"/>
    <mergeCell ref="EK21:EN21"/>
    <mergeCell ref="EK20:EN20"/>
    <mergeCell ref="CW22:CZ22"/>
    <mergeCell ref="EO20:ER20"/>
    <mergeCell ref="DA20:DD20"/>
    <mergeCell ref="DE20:DH20"/>
    <mergeCell ref="DQ20:DT20"/>
    <mergeCell ref="DU20:DX20"/>
    <mergeCell ref="EG20:EJ20"/>
    <mergeCell ref="EO22:ER22"/>
    <mergeCell ref="EO21:ER21"/>
    <mergeCell ref="DE21:DH21"/>
    <mergeCell ref="G21:Q21"/>
    <mergeCell ref="R21:BH21"/>
    <mergeCell ref="BI21:BL21"/>
    <mergeCell ref="BQ21:BT21"/>
    <mergeCell ref="CC21:CF21"/>
    <mergeCell ref="CG21:CJ21"/>
    <mergeCell ref="CS21:CV21"/>
    <mergeCell ref="BI22:BL22"/>
    <mergeCell ref="BQ22:BT22"/>
    <mergeCell ref="CC22:CF22"/>
    <mergeCell ref="CG22:CJ22"/>
    <mergeCell ref="CS22:CV22"/>
    <mergeCell ref="CK20:CR24"/>
    <mergeCell ref="G24:Q24"/>
    <mergeCell ref="R24:BH24"/>
    <mergeCell ref="BI24:BL24"/>
    <mergeCell ref="BQ24:BT24"/>
    <mergeCell ref="CC24:CF24"/>
    <mergeCell ref="CG24:CJ24"/>
    <mergeCell ref="CS24:CV24"/>
    <mergeCell ref="CS23:CV23"/>
    <mergeCell ref="G23:Q23"/>
    <mergeCell ref="R23:BH23"/>
    <mergeCell ref="BI23:BL23"/>
    <mergeCell ref="CW23:CZ23"/>
    <mergeCell ref="BQ23:BT23"/>
    <mergeCell ref="CC23:CF23"/>
    <mergeCell ref="CG23:CJ23"/>
    <mergeCell ref="BU20:CB24"/>
    <mergeCell ref="DA19:DD19"/>
    <mergeCell ref="DE19:DH19"/>
    <mergeCell ref="BI19:BL19"/>
    <mergeCell ref="BQ19:BT19"/>
    <mergeCell ref="CC19:CF19"/>
    <mergeCell ref="CG19:CJ19"/>
    <mergeCell ref="CS19:CV19"/>
    <mergeCell ref="CW19:CZ19"/>
    <mergeCell ref="BI20:BL20"/>
    <mergeCell ref="BM20:BP24"/>
    <mergeCell ref="BQ20:BT20"/>
    <mergeCell ref="CC20:CF20"/>
    <mergeCell ref="CG20:CJ20"/>
    <mergeCell ref="CS20:CV20"/>
    <mergeCell ref="CW21:CZ21"/>
    <mergeCell ref="CW20:CZ20"/>
    <mergeCell ref="DA22:DD22"/>
    <mergeCell ref="DA21:DD21"/>
    <mergeCell ref="DE14:DH14"/>
    <mergeCell ref="CG15:CJ15"/>
    <mergeCell ref="CS15:CV15"/>
    <mergeCell ref="CW15:CZ15"/>
    <mergeCell ref="DA15:DD15"/>
    <mergeCell ref="DE15:DH15"/>
    <mergeCell ref="BI14:BL14"/>
    <mergeCell ref="BM14:BP19"/>
    <mergeCell ref="BQ14:BT14"/>
    <mergeCell ref="CC18:CF18"/>
    <mergeCell ref="CG18:CJ18"/>
    <mergeCell ref="CS18:CV18"/>
    <mergeCell ref="CW18:CZ18"/>
    <mergeCell ref="BI15:BL15"/>
    <mergeCell ref="BQ15:BT15"/>
    <mergeCell ref="CC15:CF15"/>
    <mergeCell ref="CC14:CF14"/>
    <mergeCell ref="BQ17:BT17"/>
    <mergeCell ref="CW14:CZ14"/>
    <mergeCell ref="DA18:DD18"/>
    <mergeCell ref="DE18:DH18"/>
    <mergeCell ref="BI18:BL18"/>
    <mergeCell ref="DA17:DD17"/>
    <mergeCell ref="DE17:DH17"/>
    <mergeCell ref="CG14:CJ14"/>
    <mergeCell ref="CS14:CV14"/>
    <mergeCell ref="G15:Q15"/>
    <mergeCell ref="R15:BH15"/>
    <mergeCell ref="BU14:CB19"/>
    <mergeCell ref="BQ18:BT18"/>
    <mergeCell ref="CW17:CZ17"/>
    <mergeCell ref="DA14:DD14"/>
    <mergeCell ref="DA16:DD16"/>
    <mergeCell ref="DU13:DX13"/>
    <mergeCell ref="EG13:EJ13"/>
    <mergeCell ref="EK13:EN13"/>
    <mergeCell ref="EO13:ER13"/>
    <mergeCell ref="DA13:DD13"/>
    <mergeCell ref="DE13:DH13"/>
    <mergeCell ref="DQ13:DT13"/>
    <mergeCell ref="E9:BC9"/>
    <mergeCell ref="CW12:DD12"/>
    <mergeCell ref="DE12:DT12"/>
    <mergeCell ref="CG13:CJ13"/>
    <mergeCell ref="CS13:CV13"/>
    <mergeCell ref="CW13:CZ13"/>
    <mergeCell ref="DU12:EJ12"/>
    <mergeCell ref="EK12:ER12"/>
    <mergeCell ref="DE11:ER11"/>
    <mergeCell ref="R11:BH13"/>
    <mergeCell ref="BU13:CB13"/>
    <mergeCell ref="CG12:CV12"/>
    <mergeCell ref="DW10:EQ10"/>
    <mergeCell ref="D1:E1"/>
    <mergeCell ref="E8:BC8"/>
    <mergeCell ref="E7:BC7"/>
    <mergeCell ref="E6:BC6"/>
    <mergeCell ref="E5:BC5"/>
    <mergeCell ref="E4:BC4"/>
    <mergeCell ref="G14:Q14"/>
    <mergeCell ref="R14:BH14"/>
    <mergeCell ref="G20:Q20"/>
    <mergeCell ref="R20:BH20"/>
    <mergeCell ref="G18:Q18"/>
    <mergeCell ref="R18:BH18"/>
    <mergeCell ref="BH2:BL3"/>
    <mergeCell ref="BH4:BL5"/>
    <mergeCell ref="BH6:BL7"/>
    <mergeCell ref="BI13:BL13"/>
    <mergeCell ref="B9:D9"/>
    <mergeCell ref="G11:Q13"/>
    <mergeCell ref="BI11:BP12"/>
    <mergeCell ref="G17:Q17"/>
    <mergeCell ref="R17:BH17"/>
    <mergeCell ref="BI17:BL17"/>
    <mergeCell ref="G19:Q19"/>
    <mergeCell ref="R19:BH19"/>
    <mergeCell ref="A14:F19"/>
    <mergeCell ref="A20:F24"/>
    <mergeCell ref="B7:D7"/>
    <mergeCell ref="B8:D8"/>
    <mergeCell ref="B5:D5"/>
    <mergeCell ref="B6:D6"/>
    <mergeCell ref="B4:D4"/>
    <mergeCell ref="AU2:AY3"/>
    <mergeCell ref="CE6:CR7"/>
    <mergeCell ref="BM2:CR3"/>
    <mergeCell ref="BM4:BY5"/>
    <mergeCell ref="BZ4:CD5"/>
    <mergeCell ref="CE4:CR5"/>
    <mergeCell ref="BM6:BY7"/>
    <mergeCell ref="BZ6:CD7"/>
    <mergeCell ref="BM13:BP13"/>
    <mergeCell ref="BQ13:BT13"/>
    <mergeCell ref="CC13:CF13"/>
    <mergeCell ref="BQ11:DD11"/>
    <mergeCell ref="BQ12:CF12"/>
    <mergeCell ref="BI16:BL16"/>
    <mergeCell ref="BQ16:BT16"/>
    <mergeCell ref="CC16:CF16"/>
    <mergeCell ref="CG16:CJ16"/>
  </mergeCells>
  <phoneticPr fontId="2"/>
  <dataValidations disablePrompts="1" count="1">
    <dataValidation type="list" allowBlank="1" showInputMessage="1" showErrorMessage="1" sqref="BQ14:BT24 CG14:CJ24 DU14:DX24 DE14:DH24" xr:uid="{00000000-0002-0000-01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6" orientation="landscape" r:id="rId1"/>
  <headerFooter>
    <oddHeader>&amp;L【機密Ⅰ】</oddHeader>
    <oddFooter>&amp;LSO-F3071&amp;RVer.1.3
2024/03/21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ER34"/>
  <sheetViews>
    <sheetView showGridLines="0" view="pageBreakPreview" zoomScaleNormal="80" zoomScaleSheetLayoutView="100" workbookViewId="0"/>
  </sheetViews>
  <sheetFormatPr defaultColWidth="1.375" defaultRowHeight="12"/>
  <cols>
    <col min="1" max="150" width="1.375" style="40" customWidth="1"/>
    <col min="151" max="151" width="0.375" style="40" customWidth="1"/>
    <col min="152" max="16384" width="1.375" style="40"/>
  </cols>
  <sheetData>
    <row r="1" spans="1:148" ht="20.25" customHeight="1">
      <c r="A1" s="84" t="s">
        <v>0</v>
      </c>
      <c r="B1" s="85"/>
      <c r="C1" s="85"/>
      <c r="D1" s="528" t="str">
        <f>ASC(業績評価ｼｰﾄ!D1:E1)</f>
        <v>40</v>
      </c>
      <c r="E1" s="528"/>
      <c r="F1" s="85" t="s">
        <v>1</v>
      </c>
      <c r="G1" s="85"/>
      <c r="H1" s="87"/>
      <c r="K1" s="131" t="s">
        <v>161</v>
      </c>
      <c r="L1" s="131"/>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432" t="s">
        <v>3</v>
      </c>
      <c r="DS1" s="433"/>
      <c r="DT1" s="433"/>
      <c r="DU1" s="433"/>
      <c r="DV1" s="433"/>
      <c r="DW1" s="433"/>
      <c r="DX1" s="433"/>
      <c r="DY1" s="434"/>
      <c r="DZ1" s="432" t="s">
        <v>4</v>
      </c>
      <c r="EA1" s="433"/>
      <c r="EB1" s="433"/>
      <c r="EC1" s="433"/>
      <c r="ED1" s="433"/>
      <c r="EE1" s="434"/>
      <c r="EF1" s="432" t="s">
        <v>5</v>
      </c>
      <c r="EG1" s="433"/>
      <c r="EH1" s="433"/>
      <c r="EI1" s="433"/>
      <c r="EJ1" s="433"/>
      <c r="EK1" s="434"/>
      <c r="EL1" s="610" t="s">
        <v>99</v>
      </c>
      <c r="EM1" s="611"/>
      <c r="EN1" s="611"/>
      <c r="EO1" s="611"/>
      <c r="EP1" s="611"/>
      <c r="EQ1" s="612"/>
    </row>
    <row r="2" spans="1:148" ht="18.75" customHeight="1">
      <c r="A2" s="77" t="s">
        <v>7</v>
      </c>
      <c r="C2" s="57"/>
      <c r="X2" s="58"/>
      <c r="AU2" s="486"/>
      <c r="AV2" s="487"/>
      <c r="AW2" s="487"/>
      <c r="AX2" s="487"/>
      <c r="AY2" s="487"/>
      <c r="AZ2" s="136"/>
      <c r="BA2" s="136"/>
      <c r="BB2" s="136"/>
      <c r="BC2" s="136"/>
      <c r="BD2" s="136"/>
      <c r="BE2" s="136"/>
      <c r="BF2" s="136"/>
      <c r="BG2" s="136"/>
      <c r="BH2" s="506" t="s">
        <v>100</v>
      </c>
      <c r="BI2" s="507"/>
      <c r="BJ2" s="507"/>
      <c r="BK2" s="507"/>
      <c r="BL2" s="508"/>
      <c r="BM2" s="488" t="str">
        <f>IF(業績評価ｼｰﾄ!BU2="","",業績評価ｼｰﾄ!BU2)</f>
        <v>EMB本部 第1EMBSOL部 開発第1課</v>
      </c>
      <c r="BN2" s="489"/>
      <c r="BO2" s="489"/>
      <c r="BP2" s="489"/>
      <c r="BQ2" s="489"/>
      <c r="BR2" s="489"/>
      <c r="BS2" s="489"/>
      <c r="BT2" s="489"/>
      <c r="BU2" s="489"/>
      <c r="BV2" s="489"/>
      <c r="BW2" s="489"/>
      <c r="BX2" s="489"/>
      <c r="BY2" s="489"/>
      <c r="BZ2" s="489"/>
      <c r="CA2" s="489"/>
      <c r="CB2" s="489"/>
      <c r="CC2" s="489"/>
      <c r="CD2" s="489"/>
      <c r="CE2" s="489"/>
      <c r="CF2" s="489"/>
      <c r="CG2" s="489"/>
      <c r="CH2" s="489"/>
      <c r="CI2" s="489"/>
      <c r="CJ2" s="489"/>
      <c r="CK2" s="489"/>
      <c r="CL2" s="489"/>
      <c r="CM2" s="489"/>
      <c r="CN2" s="489"/>
      <c r="CO2" s="489"/>
      <c r="CP2" s="489"/>
      <c r="CQ2" s="489"/>
      <c r="CR2" s="490"/>
      <c r="CS2" s="136"/>
      <c r="CT2" s="136"/>
      <c r="CU2" s="136"/>
      <c r="CV2" s="39"/>
      <c r="CW2" s="39"/>
      <c r="CX2" s="39"/>
      <c r="CY2" s="39"/>
      <c r="DA2" s="18"/>
      <c r="DB2" s="18"/>
      <c r="DC2" s="18"/>
      <c r="DD2" s="18"/>
      <c r="DE2" s="18"/>
      <c r="DF2" s="95"/>
      <c r="DG2" s="95"/>
      <c r="DH2" s="95"/>
      <c r="DI2" s="95"/>
      <c r="DJ2" s="95"/>
      <c r="DK2" s="95"/>
      <c r="DL2" s="95"/>
      <c r="DM2" s="95"/>
      <c r="DN2" s="95"/>
      <c r="DO2" s="95"/>
      <c r="DP2" s="95"/>
      <c r="DQ2" s="137"/>
      <c r="DR2" s="320" t="s">
        <v>14</v>
      </c>
      <c r="DS2" s="320"/>
      <c r="DT2" s="320"/>
      <c r="DU2" s="320"/>
      <c r="DV2" s="320"/>
      <c r="DW2" s="372" t="s">
        <v>15</v>
      </c>
      <c r="DX2" s="372"/>
      <c r="DY2" s="372"/>
      <c r="DZ2" s="613"/>
      <c r="EA2" s="614"/>
      <c r="EB2" s="614"/>
      <c r="EC2" s="614"/>
      <c r="ED2" s="614"/>
      <c r="EE2" s="615"/>
      <c r="EF2" s="312" t="s">
        <v>11</v>
      </c>
      <c r="EG2" s="312"/>
      <c r="EH2" s="312"/>
      <c r="EI2" s="312"/>
      <c r="EJ2" s="312"/>
      <c r="EK2" s="312"/>
      <c r="EL2" s="312" t="s">
        <v>11</v>
      </c>
      <c r="EM2" s="312"/>
      <c r="EN2" s="312"/>
      <c r="EO2" s="312"/>
      <c r="EP2" s="312"/>
      <c r="EQ2" s="312"/>
    </row>
    <row r="3" spans="1:148" ht="11.25" customHeight="1">
      <c r="B3" s="40" t="s">
        <v>101</v>
      </c>
      <c r="AU3" s="487"/>
      <c r="AV3" s="487"/>
      <c r="AW3" s="487"/>
      <c r="AX3" s="487"/>
      <c r="AY3" s="487"/>
      <c r="AZ3" s="136"/>
      <c r="BA3" s="136"/>
      <c r="BB3" s="136"/>
      <c r="BC3" s="136"/>
      <c r="BD3" s="136"/>
      <c r="BE3" s="136"/>
      <c r="BF3" s="136"/>
      <c r="BG3" s="136"/>
      <c r="BH3" s="509"/>
      <c r="BI3" s="510"/>
      <c r="BJ3" s="510"/>
      <c r="BK3" s="510"/>
      <c r="BL3" s="511"/>
      <c r="BM3" s="491"/>
      <c r="BN3" s="492"/>
      <c r="BO3" s="492"/>
      <c r="BP3" s="492"/>
      <c r="BQ3" s="492"/>
      <c r="BR3" s="492"/>
      <c r="BS3" s="492"/>
      <c r="BT3" s="492"/>
      <c r="BU3" s="492"/>
      <c r="BV3" s="492"/>
      <c r="BW3" s="492"/>
      <c r="BX3" s="492"/>
      <c r="BY3" s="492"/>
      <c r="BZ3" s="492"/>
      <c r="CA3" s="492"/>
      <c r="CB3" s="492"/>
      <c r="CC3" s="492"/>
      <c r="CD3" s="492"/>
      <c r="CE3" s="492"/>
      <c r="CF3" s="492"/>
      <c r="CG3" s="492"/>
      <c r="CH3" s="492"/>
      <c r="CI3" s="492"/>
      <c r="CJ3" s="492"/>
      <c r="CK3" s="492"/>
      <c r="CL3" s="492"/>
      <c r="CM3" s="492"/>
      <c r="CN3" s="492"/>
      <c r="CO3" s="492"/>
      <c r="CP3" s="492"/>
      <c r="CQ3" s="492"/>
      <c r="CR3" s="493"/>
      <c r="CS3" s="136"/>
      <c r="CT3" s="136"/>
      <c r="CU3" s="136"/>
      <c r="CV3" s="39"/>
      <c r="CW3" s="39"/>
      <c r="CX3" s="39"/>
      <c r="CY3" s="39"/>
      <c r="DA3" s="18"/>
      <c r="DB3" s="18"/>
      <c r="DC3" s="18"/>
      <c r="DD3" s="18"/>
      <c r="DE3" s="18"/>
      <c r="DF3" s="95"/>
      <c r="DG3" s="95"/>
      <c r="DH3" s="95"/>
      <c r="DI3" s="95"/>
      <c r="DJ3" s="95"/>
      <c r="DK3" s="95"/>
      <c r="DL3" s="95"/>
      <c r="DM3" s="95"/>
      <c r="DN3" s="95"/>
      <c r="DO3" s="95"/>
      <c r="DP3" s="95"/>
      <c r="DQ3" s="137"/>
      <c r="DR3" s="320"/>
      <c r="DS3" s="320"/>
      <c r="DT3" s="320"/>
      <c r="DU3" s="320"/>
      <c r="DV3" s="320"/>
      <c r="DW3" s="373"/>
      <c r="DX3" s="373"/>
      <c r="DY3" s="373"/>
      <c r="DZ3" s="616"/>
      <c r="EA3" s="617"/>
      <c r="EB3" s="617"/>
      <c r="EC3" s="617"/>
      <c r="ED3" s="617"/>
      <c r="EE3" s="618"/>
      <c r="EF3" s="313"/>
      <c r="EG3" s="313"/>
      <c r="EH3" s="313"/>
      <c r="EI3" s="313"/>
      <c r="EJ3" s="313"/>
      <c r="EK3" s="313"/>
      <c r="EL3" s="313"/>
      <c r="EM3" s="313"/>
      <c r="EN3" s="313"/>
      <c r="EO3" s="313"/>
      <c r="EP3" s="313"/>
      <c r="EQ3" s="313"/>
    </row>
    <row r="4" spans="1:148" ht="15" customHeight="1">
      <c r="B4" s="484" t="s">
        <v>42</v>
      </c>
      <c r="C4" s="485"/>
      <c r="D4" s="485"/>
      <c r="E4" s="193" t="s">
        <v>102</v>
      </c>
      <c r="F4" s="193"/>
      <c r="G4" s="193"/>
      <c r="H4" s="193"/>
      <c r="I4" s="193"/>
      <c r="J4" s="193"/>
      <c r="K4" s="193"/>
      <c r="L4" s="193"/>
      <c r="M4" s="193"/>
      <c r="N4" s="193"/>
      <c r="O4" s="193"/>
      <c r="P4" s="193"/>
      <c r="Q4" s="193"/>
      <c r="R4" s="193"/>
      <c r="S4" s="193"/>
      <c r="T4" s="193"/>
      <c r="U4" s="193"/>
      <c r="V4" s="193"/>
      <c r="W4" s="193"/>
      <c r="X4" s="193"/>
      <c r="Y4" s="193"/>
      <c r="Z4" s="193"/>
      <c r="AA4" s="193"/>
      <c r="AB4" s="193"/>
      <c r="AC4" s="193"/>
      <c r="AD4" s="193"/>
      <c r="AE4" s="193"/>
      <c r="AF4" s="193"/>
      <c r="AG4" s="193"/>
      <c r="AH4" s="193"/>
      <c r="AI4" s="193"/>
      <c r="AJ4" s="193"/>
      <c r="AK4" s="193"/>
      <c r="AL4" s="193"/>
      <c r="AM4" s="193"/>
      <c r="AN4" s="193"/>
      <c r="AO4" s="193"/>
      <c r="AP4" s="193"/>
      <c r="AQ4" s="193"/>
      <c r="AR4" s="193"/>
      <c r="AS4" s="193"/>
      <c r="AT4" s="193"/>
      <c r="AU4" s="193"/>
      <c r="AV4" s="193"/>
      <c r="AW4" s="193"/>
      <c r="AX4" s="193"/>
      <c r="AY4" s="193"/>
      <c r="AZ4" s="193"/>
      <c r="BA4" s="193"/>
      <c r="BB4" s="193"/>
      <c r="BC4" s="193"/>
      <c r="BD4" s="135"/>
      <c r="BE4" s="135"/>
      <c r="BF4" s="135"/>
      <c r="BG4" s="135"/>
      <c r="BH4" s="506" t="s">
        <v>103</v>
      </c>
      <c r="BI4" s="507"/>
      <c r="BJ4" s="507"/>
      <c r="BK4" s="507"/>
      <c r="BL4" s="508"/>
      <c r="BM4" s="494" t="str">
        <f>IF(業績評価ｼｰﾄ!BU4="","",業績評価ｼｰﾄ!BU4)</f>
        <v>中村　洋太</v>
      </c>
      <c r="BN4" s="495"/>
      <c r="BO4" s="495"/>
      <c r="BP4" s="495"/>
      <c r="BQ4" s="495"/>
      <c r="BR4" s="495"/>
      <c r="BS4" s="495"/>
      <c r="BT4" s="495"/>
      <c r="BU4" s="495"/>
      <c r="BV4" s="495"/>
      <c r="BW4" s="495"/>
      <c r="BX4" s="495"/>
      <c r="BY4" s="496"/>
      <c r="BZ4" s="500" t="s">
        <v>13</v>
      </c>
      <c r="CA4" s="501"/>
      <c r="CB4" s="501"/>
      <c r="CC4" s="501"/>
      <c r="CD4" s="502"/>
      <c r="CE4" s="488">
        <f>IF(業績評価ｼｰﾄ!CM4="","",業績評価ｼｰﾄ!CM4)</f>
        <v>290863</v>
      </c>
      <c r="CF4" s="489"/>
      <c r="CG4" s="489"/>
      <c r="CH4" s="489"/>
      <c r="CI4" s="489"/>
      <c r="CJ4" s="489"/>
      <c r="CK4" s="489"/>
      <c r="CL4" s="489"/>
      <c r="CM4" s="489"/>
      <c r="CN4" s="489"/>
      <c r="CO4" s="489"/>
      <c r="CP4" s="489"/>
      <c r="CQ4" s="489"/>
      <c r="CR4" s="490"/>
      <c r="CS4" s="88"/>
      <c r="CT4" s="88"/>
      <c r="CU4" s="88"/>
      <c r="CV4" s="39"/>
      <c r="CW4" s="129"/>
      <c r="CX4" s="129"/>
      <c r="CY4" s="129"/>
      <c r="DA4" s="18"/>
      <c r="DB4" s="18"/>
      <c r="DC4" s="18"/>
      <c r="DD4" s="18"/>
      <c r="DE4" s="18"/>
      <c r="DF4" s="95"/>
      <c r="DG4" s="95"/>
      <c r="DH4" s="95"/>
      <c r="DI4" s="95"/>
      <c r="DJ4" s="95"/>
      <c r="DK4" s="95"/>
      <c r="DL4" s="95"/>
      <c r="DM4" s="95"/>
      <c r="DN4" s="95"/>
      <c r="DO4" s="95"/>
      <c r="DP4" s="95"/>
      <c r="DQ4" s="137"/>
      <c r="DR4" s="320"/>
      <c r="DS4" s="320"/>
      <c r="DT4" s="320"/>
      <c r="DU4" s="320"/>
      <c r="DV4" s="320"/>
      <c r="DW4" s="371" t="s">
        <v>18</v>
      </c>
      <c r="DX4" s="371"/>
      <c r="DY4" s="371"/>
      <c r="DZ4" s="619"/>
      <c r="EA4" s="620"/>
      <c r="EB4" s="620"/>
      <c r="EC4" s="620"/>
      <c r="ED4" s="620"/>
      <c r="EE4" s="621"/>
      <c r="EF4" s="343" t="s">
        <v>11</v>
      </c>
      <c r="EG4" s="343"/>
      <c r="EH4" s="343"/>
      <c r="EI4" s="343"/>
      <c r="EJ4" s="343"/>
      <c r="EK4" s="343"/>
      <c r="EL4" s="343" t="s">
        <v>19</v>
      </c>
      <c r="EM4" s="343"/>
      <c r="EN4" s="343"/>
      <c r="EO4" s="343"/>
      <c r="EP4" s="343"/>
      <c r="EQ4" s="343"/>
    </row>
    <row r="5" spans="1:148" ht="15" customHeight="1">
      <c r="B5" s="481">
        <v>5</v>
      </c>
      <c r="C5" s="482"/>
      <c r="D5" s="483"/>
      <c r="E5" s="529" t="s">
        <v>104</v>
      </c>
      <c r="F5" s="529"/>
      <c r="G5" s="529"/>
      <c r="H5" s="529"/>
      <c r="I5" s="529"/>
      <c r="J5" s="529"/>
      <c r="K5" s="529"/>
      <c r="L5" s="529"/>
      <c r="M5" s="529"/>
      <c r="N5" s="529"/>
      <c r="O5" s="529"/>
      <c r="P5" s="529"/>
      <c r="Q5" s="529"/>
      <c r="R5" s="529"/>
      <c r="S5" s="529"/>
      <c r="T5" s="529"/>
      <c r="U5" s="529"/>
      <c r="V5" s="529"/>
      <c r="W5" s="529"/>
      <c r="X5" s="529"/>
      <c r="Y5" s="529"/>
      <c r="Z5" s="529"/>
      <c r="AA5" s="529"/>
      <c r="AB5" s="529"/>
      <c r="AC5" s="529"/>
      <c r="AD5" s="529"/>
      <c r="AE5" s="529"/>
      <c r="AF5" s="529"/>
      <c r="AG5" s="529"/>
      <c r="AH5" s="529"/>
      <c r="AI5" s="529"/>
      <c r="AJ5" s="529"/>
      <c r="AK5" s="529"/>
      <c r="AL5" s="529"/>
      <c r="AM5" s="529"/>
      <c r="AN5" s="529"/>
      <c r="AO5" s="529"/>
      <c r="AP5" s="529"/>
      <c r="AQ5" s="529"/>
      <c r="AR5" s="529"/>
      <c r="AS5" s="529"/>
      <c r="AT5" s="529"/>
      <c r="AU5" s="529"/>
      <c r="AV5" s="529"/>
      <c r="AW5" s="529"/>
      <c r="AX5" s="529"/>
      <c r="AY5" s="529"/>
      <c r="AZ5" s="529"/>
      <c r="BA5" s="529"/>
      <c r="BB5" s="529"/>
      <c r="BC5" s="529"/>
      <c r="BD5" s="135"/>
      <c r="BE5" s="135"/>
      <c r="BF5" s="135"/>
      <c r="BG5" s="135"/>
      <c r="BH5" s="509"/>
      <c r="BI5" s="510"/>
      <c r="BJ5" s="510"/>
      <c r="BK5" s="510"/>
      <c r="BL5" s="511"/>
      <c r="BM5" s="497"/>
      <c r="BN5" s="498"/>
      <c r="BO5" s="498"/>
      <c r="BP5" s="498"/>
      <c r="BQ5" s="498"/>
      <c r="BR5" s="498"/>
      <c r="BS5" s="498"/>
      <c r="BT5" s="498"/>
      <c r="BU5" s="498"/>
      <c r="BV5" s="498"/>
      <c r="BW5" s="498"/>
      <c r="BX5" s="498"/>
      <c r="BY5" s="499"/>
      <c r="BZ5" s="503"/>
      <c r="CA5" s="504"/>
      <c r="CB5" s="504"/>
      <c r="CC5" s="504"/>
      <c r="CD5" s="505"/>
      <c r="CE5" s="491"/>
      <c r="CF5" s="492"/>
      <c r="CG5" s="492"/>
      <c r="CH5" s="492"/>
      <c r="CI5" s="492"/>
      <c r="CJ5" s="492"/>
      <c r="CK5" s="492"/>
      <c r="CL5" s="492"/>
      <c r="CM5" s="492"/>
      <c r="CN5" s="492"/>
      <c r="CO5" s="492"/>
      <c r="CP5" s="492"/>
      <c r="CQ5" s="492"/>
      <c r="CR5" s="493"/>
      <c r="CS5" s="88"/>
      <c r="CT5" s="88"/>
      <c r="CU5" s="88"/>
      <c r="CV5" s="39"/>
      <c r="CW5" s="130"/>
      <c r="CX5" s="129"/>
      <c r="CY5" s="129"/>
      <c r="DA5" s="18"/>
      <c r="DB5" s="18"/>
      <c r="DC5" s="18"/>
      <c r="DD5" s="18"/>
      <c r="DE5" s="18"/>
      <c r="DF5" s="95"/>
      <c r="DG5" s="95"/>
      <c r="DH5" s="95"/>
      <c r="DI5" s="95"/>
      <c r="DJ5" s="95"/>
      <c r="DK5" s="95"/>
      <c r="DL5" s="95"/>
      <c r="DM5" s="95"/>
      <c r="DN5" s="95"/>
      <c r="DO5" s="95"/>
      <c r="DP5" s="95"/>
      <c r="DQ5" s="137"/>
      <c r="DR5" s="320"/>
      <c r="DS5" s="320"/>
      <c r="DT5" s="320"/>
      <c r="DU5" s="320"/>
      <c r="DV5" s="320"/>
      <c r="DW5" s="372"/>
      <c r="DX5" s="372"/>
      <c r="DY5" s="372"/>
      <c r="DZ5" s="622"/>
      <c r="EA5" s="623"/>
      <c r="EB5" s="623"/>
      <c r="EC5" s="623"/>
      <c r="ED5" s="623"/>
      <c r="EE5" s="624"/>
      <c r="EF5" s="312"/>
      <c r="EG5" s="312"/>
      <c r="EH5" s="312"/>
      <c r="EI5" s="312"/>
      <c r="EJ5" s="312"/>
      <c r="EK5" s="312"/>
      <c r="EL5" s="312"/>
      <c r="EM5" s="312"/>
      <c r="EN5" s="312"/>
      <c r="EO5" s="312"/>
      <c r="EP5" s="312"/>
      <c r="EQ5" s="312"/>
    </row>
    <row r="6" spans="1:148" ht="15" customHeight="1">
      <c r="B6" s="481">
        <v>4</v>
      </c>
      <c r="C6" s="482"/>
      <c r="D6" s="483"/>
      <c r="E6" s="529" t="s">
        <v>105</v>
      </c>
      <c r="F6" s="529"/>
      <c r="G6" s="529"/>
      <c r="H6" s="529"/>
      <c r="I6" s="529"/>
      <c r="J6" s="529"/>
      <c r="K6" s="529"/>
      <c r="L6" s="529"/>
      <c r="M6" s="529"/>
      <c r="N6" s="529"/>
      <c r="O6" s="529"/>
      <c r="P6" s="529"/>
      <c r="Q6" s="529"/>
      <c r="R6" s="529"/>
      <c r="S6" s="529"/>
      <c r="T6" s="529"/>
      <c r="U6" s="529"/>
      <c r="V6" s="529"/>
      <c r="W6" s="529"/>
      <c r="X6" s="529"/>
      <c r="Y6" s="529"/>
      <c r="Z6" s="529"/>
      <c r="AA6" s="529"/>
      <c r="AB6" s="529"/>
      <c r="AC6" s="529"/>
      <c r="AD6" s="529"/>
      <c r="AE6" s="529"/>
      <c r="AF6" s="529"/>
      <c r="AG6" s="529"/>
      <c r="AH6" s="529"/>
      <c r="AI6" s="529"/>
      <c r="AJ6" s="529"/>
      <c r="AK6" s="529"/>
      <c r="AL6" s="529"/>
      <c r="AM6" s="529"/>
      <c r="AN6" s="529"/>
      <c r="AO6" s="529"/>
      <c r="AP6" s="529"/>
      <c r="AQ6" s="529"/>
      <c r="AR6" s="529"/>
      <c r="AS6" s="529"/>
      <c r="AT6" s="529"/>
      <c r="AU6" s="529"/>
      <c r="AV6" s="529"/>
      <c r="AW6" s="529"/>
      <c r="AX6" s="529"/>
      <c r="AY6" s="529"/>
      <c r="AZ6" s="529"/>
      <c r="BA6" s="529"/>
      <c r="BB6" s="529"/>
      <c r="BC6" s="529"/>
      <c r="BD6" s="88"/>
      <c r="BE6" s="88"/>
      <c r="BF6" s="88"/>
      <c r="BG6" s="88"/>
      <c r="BH6" s="506" t="s">
        <v>106</v>
      </c>
      <c r="BI6" s="507"/>
      <c r="BJ6" s="507"/>
      <c r="BK6" s="507"/>
      <c r="BL6" s="508"/>
      <c r="BM6" s="488" t="str">
        <f>IF(業績評価ｼｰﾄ!BU6="","",業績評価ｼｰﾄ!BU6)</f>
        <v>G4</v>
      </c>
      <c r="BN6" s="489"/>
      <c r="BO6" s="489"/>
      <c r="BP6" s="489"/>
      <c r="BQ6" s="489"/>
      <c r="BR6" s="489"/>
      <c r="BS6" s="489"/>
      <c r="BT6" s="489"/>
      <c r="BU6" s="489"/>
      <c r="BV6" s="489"/>
      <c r="BW6" s="489"/>
      <c r="BX6" s="489"/>
      <c r="BY6" s="490"/>
      <c r="BZ6" s="506" t="s">
        <v>107</v>
      </c>
      <c r="CA6" s="507"/>
      <c r="CB6" s="507"/>
      <c r="CC6" s="507"/>
      <c r="CD6" s="508"/>
      <c r="CE6" s="488" t="str">
        <f>IF(業績評価ｼｰﾄ!CM6="","",業績評価ｼｰﾄ!CM6)</f>
        <v>係長・TL</v>
      </c>
      <c r="CF6" s="489"/>
      <c r="CG6" s="489"/>
      <c r="CH6" s="489"/>
      <c r="CI6" s="489"/>
      <c r="CJ6" s="489"/>
      <c r="CK6" s="489"/>
      <c r="CL6" s="489"/>
      <c r="CM6" s="489"/>
      <c r="CN6" s="489"/>
      <c r="CO6" s="489"/>
      <c r="CP6" s="489"/>
      <c r="CQ6" s="489"/>
      <c r="CR6" s="490"/>
      <c r="CS6" s="88"/>
      <c r="CT6" s="88"/>
      <c r="CU6" s="88"/>
      <c r="CV6" s="39"/>
      <c r="CW6" s="129"/>
      <c r="CX6" s="129"/>
      <c r="CY6" s="129"/>
      <c r="DA6" s="18"/>
      <c r="DB6" s="18"/>
      <c r="DC6" s="18"/>
      <c r="DD6" s="18"/>
      <c r="DE6" s="18"/>
      <c r="DF6" s="95"/>
      <c r="DG6" s="95"/>
      <c r="DH6" s="95"/>
      <c r="DI6" s="95"/>
      <c r="DJ6" s="95"/>
      <c r="DK6" s="95"/>
      <c r="DL6" s="95"/>
      <c r="DM6" s="95"/>
      <c r="DN6" s="95"/>
      <c r="DO6" s="95"/>
      <c r="DP6" s="95"/>
      <c r="DQ6" s="138"/>
      <c r="DR6" s="320" t="s">
        <v>21</v>
      </c>
      <c r="DS6" s="320"/>
      <c r="DT6" s="320"/>
      <c r="DU6" s="320"/>
      <c r="DV6" s="320"/>
      <c r="DW6" s="372" t="s">
        <v>15</v>
      </c>
      <c r="DX6" s="372"/>
      <c r="DY6" s="372"/>
      <c r="DZ6" s="613"/>
      <c r="EA6" s="614"/>
      <c r="EB6" s="614"/>
      <c r="EC6" s="614"/>
      <c r="ED6" s="614"/>
      <c r="EE6" s="615"/>
      <c r="EF6" s="312" t="s">
        <v>11</v>
      </c>
      <c r="EG6" s="312"/>
      <c r="EH6" s="312"/>
      <c r="EI6" s="312"/>
      <c r="EJ6" s="312"/>
      <c r="EK6" s="312"/>
      <c r="EL6" s="312" t="s">
        <v>11</v>
      </c>
      <c r="EM6" s="312"/>
      <c r="EN6" s="312"/>
      <c r="EO6" s="312"/>
      <c r="EP6" s="312"/>
      <c r="EQ6" s="312"/>
    </row>
    <row r="7" spans="1:148" ht="15" customHeight="1">
      <c r="B7" s="481">
        <v>3</v>
      </c>
      <c r="C7" s="482"/>
      <c r="D7" s="482"/>
      <c r="E7" s="529" t="s">
        <v>108</v>
      </c>
      <c r="F7" s="529"/>
      <c r="G7" s="529"/>
      <c r="H7" s="529"/>
      <c r="I7" s="529"/>
      <c r="J7" s="529"/>
      <c r="K7" s="529"/>
      <c r="L7" s="529"/>
      <c r="M7" s="529"/>
      <c r="N7" s="529"/>
      <c r="O7" s="529"/>
      <c r="P7" s="529"/>
      <c r="Q7" s="529"/>
      <c r="R7" s="529"/>
      <c r="S7" s="529"/>
      <c r="T7" s="529"/>
      <c r="U7" s="529"/>
      <c r="V7" s="529"/>
      <c r="W7" s="529"/>
      <c r="X7" s="529"/>
      <c r="Y7" s="529"/>
      <c r="Z7" s="529"/>
      <c r="AA7" s="529"/>
      <c r="AB7" s="529"/>
      <c r="AC7" s="529"/>
      <c r="AD7" s="529"/>
      <c r="AE7" s="529"/>
      <c r="AF7" s="529"/>
      <c r="AG7" s="529"/>
      <c r="AH7" s="529"/>
      <c r="AI7" s="529"/>
      <c r="AJ7" s="529"/>
      <c r="AK7" s="529"/>
      <c r="AL7" s="529"/>
      <c r="AM7" s="529"/>
      <c r="AN7" s="529"/>
      <c r="AO7" s="529"/>
      <c r="AP7" s="529"/>
      <c r="AQ7" s="529"/>
      <c r="AR7" s="529"/>
      <c r="AS7" s="529"/>
      <c r="AT7" s="529"/>
      <c r="AU7" s="529"/>
      <c r="AV7" s="529"/>
      <c r="AW7" s="529"/>
      <c r="AX7" s="529"/>
      <c r="AY7" s="529"/>
      <c r="AZ7" s="529"/>
      <c r="BA7" s="529"/>
      <c r="BB7" s="529"/>
      <c r="BC7" s="529"/>
      <c r="BD7" s="88"/>
      <c r="BE7" s="88"/>
      <c r="BF7" s="88"/>
      <c r="BG7" s="88"/>
      <c r="BH7" s="509"/>
      <c r="BI7" s="510"/>
      <c r="BJ7" s="510"/>
      <c r="BK7" s="510"/>
      <c r="BL7" s="511"/>
      <c r="BM7" s="491"/>
      <c r="BN7" s="492"/>
      <c r="BO7" s="492"/>
      <c r="BP7" s="492"/>
      <c r="BQ7" s="492"/>
      <c r="BR7" s="492"/>
      <c r="BS7" s="492"/>
      <c r="BT7" s="492"/>
      <c r="BU7" s="492"/>
      <c r="BV7" s="492"/>
      <c r="BW7" s="492"/>
      <c r="BX7" s="492"/>
      <c r="BY7" s="493"/>
      <c r="BZ7" s="509"/>
      <c r="CA7" s="510"/>
      <c r="CB7" s="510"/>
      <c r="CC7" s="510"/>
      <c r="CD7" s="511"/>
      <c r="CE7" s="491"/>
      <c r="CF7" s="492"/>
      <c r="CG7" s="492"/>
      <c r="CH7" s="492"/>
      <c r="CI7" s="492"/>
      <c r="CJ7" s="492"/>
      <c r="CK7" s="492"/>
      <c r="CL7" s="492"/>
      <c r="CM7" s="492"/>
      <c r="CN7" s="492"/>
      <c r="CO7" s="492"/>
      <c r="CP7" s="492"/>
      <c r="CQ7" s="492"/>
      <c r="CR7" s="493"/>
      <c r="CS7" s="88"/>
      <c r="CT7" s="88"/>
      <c r="CU7" s="88"/>
      <c r="CV7" s="39"/>
      <c r="CW7" s="129"/>
      <c r="CX7" s="129"/>
      <c r="CY7" s="129"/>
      <c r="DA7" s="18"/>
      <c r="DB7" s="18"/>
      <c r="DC7" s="18"/>
      <c r="DD7" s="18"/>
      <c r="DE7" s="18"/>
      <c r="DF7" s="95"/>
      <c r="DG7" s="95"/>
      <c r="DH7" s="95"/>
      <c r="DI7" s="95"/>
      <c r="DJ7" s="95"/>
      <c r="DK7" s="95"/>
      <c r="DL7" s="95"/>
      <c r="DM7" s="95"/>
      <c r="DN7" s="95"/>
      <c r="DO7" s="95"/>
      <c r="DP7" s="95"/>
      <c r="DQ7" s="138"/>
      <c r="DR7" s="320"/>
      <c r="DS7" s="320"/>
      <c r="DT7" s="320"/>
      <c r="DU7" s="320"/>
      <c r="DV7" s="320"/>
      <c r="DW7" s="373"/>
      <c r="DX7" s="373"/>
      <c r="DY7" s="373"/>
      <c r="DZ7" s="616"/>
      <c r="EA7" s="617"/>
      <c r="EB7" s="617"/>
      <c r="EC7" s="617"/>
      <c r="ED7" s="617"/>
      <c r="EE7" s="618"/>
      <c r="EF7" s="313"/>
      <c r="EG7" s="313"/>
      <c r="EH7" s="313"/>
      <c r="EI7" s="313"/>
      <c r="EJ7" s="313"/>
      <c r="EK7" s="313"/>
      <c r="EL7" s="313"/>
      <c r="EM7" s="313"/>
      <c r="EN7" s="313"/>
      <c r="EO7" s="313"/>
      <c r="EP7" s="313"/>
      <c r="EQ7" s="313"/>
    </row>
    <row r="8" spans="1:148" ht="15" customHeight="1">
      <c r="B8" s="481">
        <v>2</v>
      </c>
      <c r="C8" s="482"/>
      <c r="D8" s="483"/>
      <c r="E8" s="529" t="s">
        <v>109</v>
      </c>
      <c r="F8" s="529"/>
      <c r="G8" s="529"/>
      <c r="H8" s="529"/>
      <c r="I8" s="529"/>
      <c r="J8" s="529"/>
      <c r="K8" s="529"/>
      <c r="L8" s="529"/>
      <c r="M8" s="529"/>
      <c r="N8" s="529"/>
      <c r="O8" s="529"/>
      <c r="P8" s="529"/>
      <c r="Q8" s="529"/>
      <c r="R8" s="529"/>
      <c r="S8" s="529"/>
      <c r="T8" s="529"/>
      <c r="U8" s="529"/>
      <c r="V8" s="529"/>
      <c r="W8" s="529"/>
      <c r="X8" s="529"/>
      <c r="Y8" s="529"/>
      <c r="Z8" s="529"/>
      <c r="AA8" s="529"/>
      <c r="AB8" s="529"/>
      <c r="AC8" s="529"/>
      <c r="AD8" s="529"/>
      <c r="AE8" s="529"/>
      <c r="AF8" s="529"/>
      <c r="AG8" s="529"/>
      <c r="AH8" s="529"/>
      <c r="AI8" s="529"/>
      <c r="AJ8" s="529"/>
      <c r="AK8" s="529"/>
      <c r="AL8" s="529"/>
      <c r="AM8" s="529"/>
      <c r="AN8" s="529"/>
      <c r="AO8" s="529"/>
      <c r="AP8" s="529"/>
      <c r="AQ8" s="529"/>
      <c r="AR8" s="529"/>
      <c r="AS8" s="529"/>
      <c r="AT8" s="529"/>
      <c r="AU8" s="529"/>
      <c r="AV8" s="529"/>
      <c r="AW8" s="529"/>
      <c r="AX8" s="529"/>
      <c r="AY8" s="529"/>
      <c r="AZ8" s="529"/>
      <c r="BA8" s="529"/>
      <c r="BB8" s="529"/>
      <c r="BC8" s="529"/>
      <c r="BI8" s="14"/>
      <c r="DA8" s="18"/>
      <c r="DB8" s="18"/>
      <c r="DC8" s="18"/>
      <c r="DD8" s="18"/>
      <c r="DE8" s="18"/>
      <c r="DF8" s="95"/>
      <c r="DG8" s="95"/>
      <c r="DH8" s="95"/>
      <c r="DI8" s="95"/>
      <c r="DJ8" s="95"/>
      <c r="DK8" s="95"/>
      <c r="DL8" s="95"/>
      <c r="DM8" s="95"/>
      <c r="DN8" s="95"/>
      <c r="DO8" s="95"/>
      <c r="DP8" s="95"/>
      <c r="DQ8" s="138"/>
      <c r="DR8" s="320"/>
      <c r="DS8" s="320"/>
      <c r="DT8" s="320"/>
      <c r="DU8" s="320"/>
      <c r="DV8" s="320"/>
      <c r="DW8" s="371" t="s">
        <v>18</v>
      </c>
      <c r="DX8" s="371"/>
      <c r="DY8" s="371"/>
      <c r="DZ8" s="626"/>
      <c r="EA8" s="626"/>
      <c r="EB8" s="626"/>
      <c r="EC8" s="626"/>
      <c r="ED8" s="626"/>
      <c r="EE8" s="626"/>
      <c r="EF8" s="343" t="s">
        <v>11</v>
      </c>
      <c r="EG8" s="343"/>
      <c r="EH8" s="343"/>
      <c r="EI8" s="343"/>
      <c r="EJ8" s="343"/>
      <c r="EK8" s="343"/>
      <c r="EL8" s="343" t="s">
        <v>19</v>
      </c>
      <c r="EM8" s="343"/>
      <c r="EN8" s="343"/>
      <c r="EO8" s="343"/>
      <c r="EP8" s="343"/>
      <c r="EQ8" s="343"/>
    </row>
    <row r="9" spans="1:148" ht="15" customHeight="1">
      <c r="B9" s="481">
        <v>1</v>
      </c>
      <c r="C9" s="482"/>
      <c r="D9" s="483"/>
      <c r="E9" s="529" t="s">
        <v>110</v>
      </c>
      <c r="F9" s="529"/>
      <c r="G9" s="529"/>
      <c r="H9" s="529"/>
      <c r="I9" s="529"/>
      <c r="J9" s="529"/>
      <c r="K9" s="529"/>
      <c r="L9" s="529"/>
      <c r="M9" s="529"/>
      <c r="N9" s="529"/>
      <c r="O9" s="529"/>
      <c r="P9" s="529"/>
      <c r="Q9" s="529"/>
      <c r="R9" s="529"/>
      <c r="S9" s="529"/>
      <c r="T9" s="529"/>
      <c r="U9" s="529"/>
      <c r="V9" s="529"/>
      <c r="W9" s="529"/>
      <c r="X9" s="529"/>
      <c r="Y9" s="529"/>
      <c r="Z9" s="529"/>
      <c r="AA9" s="529"/>
      <c r="AB9" s="529"/>
      <c r="AC9" s="529"/>
      <c r="AD9" s="529"/>
      <c r="AE9" s="529"/>
      <c r="AF9" s="529"/>
      <c r="AG9" s="529"/>
      <c r="AH9" s="529"/>
      <c r="AI9" s="529"/>
      <c r="AJ9" s="529"/>
      <c r="AK9" s="529"/>
      <c r="AL9" s="529"/>
      <c r="AM9" s="529"/>
      <c r="AN9" s="529"/>
      <c r="AO9" s="529"/>
      <c r="AP9" s="529"/>
      <c r="AQ9" s="529"/>
      <c r="AR9" s="529"/>
      <c r="AS9" s="529"/>
      <c r="AT9" s="529"/>
      <c r="AU9" s="529"/>
      <c r="AV9" s="529"/>
      <c r="AW9" s="529"/>
      <c r="AX9" s="529"/>
      <c r="AY9" s="529"/>
      <c r="AZ9" s="529"/>
      <c r="BA9" s="529"/>
      <c r="BB9" s="529"/>
      <c r="BC9" s="529"/>
      <c r="DA9" s="18"/>
      <c r="DB9" s="18"/>
      <c r="DC9" s="18"/>
      <c r="DD9" s="18"/>
      <c r="DE9" s="18"/>
      <c r="DF9" s="95"/>
      <c r="DG9" s="95"/>
      <c r="DH9" s="95"/>
      <c r="DI9" s="95"/>
      <c r="DJ9" s="95"/>
      <c r="DK9" s="95"/>
      <c r="DL9" s="95"/>
      <c r="DM9" s="95"/>
      <c r="DN9" s="95"/>
      <c r="DO9" s="95"/>
      <c r="DP9" s="95"/>
      <c r="DQ9" s="138"/>
      <c r="DR9" s="320"/>
      <c r="DS9" s="320"/>
      <c r="DT9" s="320"/>
      <c r="DU9" s="320"/>
      <c r="DV9" s="320"/>
      <c r="DW9" s="372"/>
      <c r="DX9" s="372"/>
      <c r="DY9" s="372"/>
      <c r="DZ9" s="627"/>
      <c r="EA9" s="627"/>
      <c r="EB9" s="627"/>
      <c r="EC9" s="627"/>
      <c r="ED9" s="627"/>
      <c r="EE9" s="627"/>
      <c r="EF9" s="312"/>
      <c r="EG9" s="312"/>
      <c r="EH9" s="312"/>
      <c r="EI9" s="312"/>
      <c r="EJ9" s="312"/>
      <c r="EK9" s="312"/>
      <c r="EL9" s="312"/>
      <c r="EM9" s="312"/>
      <c r="EN9" s="312"/>
      <c r="EO9" s="312"/>
      <c r="EP9" s="312"/>
      <c r="EQ9" s="312"/>
    </row>
    <row r="10" spans="1:148" ht="15" customHeight="1">
      <c r="AU10" s="20"/>
      <c r="AW10" s="14"/>
      <c r="BM10" s="40" t="s">
        <v>111</v>
      </c>
      <c r="DA10" s="80"/>
      <c r="DW10" s="513" t="s">
        <v>112</v>
      </c>
      <c r="DX10" s="513"/>
      <c r="DY10" s="513"/>
      <c r="DZ10" s="513"/>
      <c r="EA10" s="513"/>
      <c r="EB10" s="513"/>
      <c r="EC10" s="513"/>
      <c r="ED10" s="513"/>
      <c r="EE10" s="513"/>
      <c r="EF10" s="513"/>
      <c r="EG10" s="513"/>
      <c r="EH10" s="513"/>
      <c r="EI10" s="513"/>
      <c r="EJ10" s="513"/>
      <c r="EK10" s="513"/>
      <c r="EL10" s="513"/>
      <c r="EM10" s="513"/>
      <c r="EN10" s="513"/>
      <c r="EO10" s="513"/>
      <c r="EP10" s="513"/>
      <c r="EQ10" s="513"/>
    </row>
    <row r="11" spans="1:148" ht="15" customHeight="1">
      <c r="A11" s="59"/>
      <c r="B11" s="60"/>
      <c r="C11" s="60"/>
      <c r="D11" s="60"/>
      <c r="E11" s="60"/>
      <c r="F11" s="60"/>
      <c r="G11" s="533" t="s">
        <v>113</v>
      </c>
      <c r="H11" s="253"/>
      <c r="I11" s="253"/>
      <c r="J11" s="253"/>
      <c r="K11" s="253"/>
      <c r="L11" s="253"/>
      <c r="M11" s="253"/>
      <c r="N11" s="253"/>
      <c r="O11" s="253"/>
      <c r="P11" s="253"/>
      <c r="Q11" s="248"/>
      <c r="R11" s="247" t="s">
        <v>114</v>
      </c>
      <c r="S11" s="253"/>
      <c r="T11" s="253"/>
      <c r="U11" s="253"/>
      <c r="V11" s="253"/>
      <c r="W11" s="253"/>
      <c r="X11" s="253"/>
      <c r="Y11" s="253"/>
      <c r="Z11" s="253"/>
      <c r="AA11" s="253"/>
      <c r="AB11" s="253"/>
      <c r="AC11" s="253"/>
      <c r="AD11" s="253"/>
      <c r="AE11" s="253"/>
      <c r="AF11" s="253"/>
      <c r="AG11" s="253"/>
      <c r="AH11" s="253"/>
      <c r="AI11" s="253"/>
      <c r="AJ11" s="253"/>
      <c r="AK11" s="253"/>
      <c r="AL11" s="253"/>
      <c r="AM11" s="253"/>
      <c r="AN11" s="253"/>
      <c r="AO11" s="253"/>
      <c r="AP11" s="253"/>
      <c r="AQ11" s="253"/>
      <c r="AR11" s="253"/>
      <c r="AS11" s="253"/>
      <c r="AT11" s="253"/>
      <c r="AU11" s="253"/>
      <c r="AV11" s="253"/>
      <c r="AW11" s="253"/>
      <c r="AX11" s="253"/>
      <c r="AY11" s="253"/>
      <c r="AZ11" s="253"/>
      <c r="BA11" s="253"/>
      <c r="BB11" s="253"/>
      <c r="BC11" s="253"/>
      <c r="BD11" s="253"/>
      <c r="BE11" s="253"/>
      <c r="BF11" s="253"/>
      <c r="BG11" s="253"/>
      <c r="BH11" s="248"/>
      <c r="BI11" s="420" t="s">
        <v>115</v>
      </c>
      <c r="BJ11" s="534"/>
      <c r="BK11" s="534"/>
      <c r="BL11" s="534"/>
      <c r="BM11" s="534"/>
      <c r="BN11" s="534"/>
      <c r="BO11" s="534"/>
      <c r="BP11" s="421"/>
      <c r="BQ11" s="512" t="s">
        <v>116</v>
      </c>
      <c r="BR11" s="513"/>
      <c r="BS11" s="513"/>
      <c r="BT11" s="513"/>
      <c r="BU11" s="513"/>
      <c r="BV11" s="513"/>
      <c r="BW11" s="513"/>
      <c r="BX11" s="513"/>
      <c r="BY11" s="513"/>
      <c r="BZ11" s="513"/>
      <c r="CA11" s="513"/>
      <c r="CB11" s="513"/>
      <c r="CC11" s="513"/>
      <c r="CD11" s="513"/>
      <c r="CE11" s="513"/>
      <c r="CF11" s="513"/>
      <c r="CG11" s="513"/>
      <c r="CH11" s="513"/>
      <c r="CI11" s="513"/>
      <c r="CJ11" s="513"/>
      <c r="CK11" s="513"/>
      <c r="CL11" s="513"/>
      <c r="CM11" s="513"/>
      <c r="CN11" s="513"/>
      <c r="CO11" s="513"/>
      <c r="CP11" s="513"/>
      <c r="CQ11" s="513"/>
      <c r="CR11" s="513"/>
      <c r="CS11" s="513"/>
      <c r="CT11" s="513"/>
      <c r="CU11" s="513"/>
      <c r="CV11" s="513"/>
      <c r="CW11" s="513"/>
      <c r="CX11" s="513"/>
      <c r="CY11" s="513"/>
      <c r="CZ11" s="513"/>
      <c r="DA11" s="513"/>
      <c r="DB11" s="513"/>
      <c r="DC11" s="513"/>
      <c r="DD11" s="514"/>
      <c r="DE11" s="512" t="s">
        <v>117</v>
      </c>
      <c r="DF11" s="513"/>
      <c r="DG11" s="513"/>
      <c r="DH11" s="513"/>
      <c r="DI11" s="513"/>
      <c r="DJ11" s="513"/>
      <c r="DK11" s="513"/>
      <c r="DL11" s="513"/>
      <c r="DM11" s="513"/>
      <c r="DN11" s="513"/>
      <c r="DO11" s="513"/>
      <c r="DP11" s="513"/>
      <c r="DQ11" s="513"/>
      <c r="DR11" s="513"/>
      <c r="DS11" s="513"/>
      <c r="DT11" s="513"/>
      <c r="DU11" s="513"/>
      <c r="DV11" s="513"/>
      <c r="DW11" s="513"/>
      <c r="DX11" s="513"/>
      <c r="DY11" s="513"/>
      <c r="DZ11" s="513"/>
      <c r="EA11" s="513"/>
      <c r="EB11" s="513"/>
      <c r="EC11" s="513"/>
      <c r="ED11" s="513"/>
      <c r="EE11" s="513"/>
      <c r="EF11" s="513"/>
      <c r="EG11" s="513"/>
      <c r="EH11" s="513"/>
      <c r="EI11" s="513"/>
      <c r="EJ11" s="513"/>
      <c r="EK11" s="513"/>
      <c r="EL11" s="513"/>
      <c r="EM11" s="513"/>
      <c r="EN11" s="513"/>
      <c r="EO11" s="513"/>
      <c r="EP11" s="513"/>
      <c r="EQ11" s="513"/>
      <c r="ER11" s="514"/>
    </row>
    <row r="12" spans="1:148" ht="15" customHeight="1" thickBot="1">
      <c r="A12" s="61"/>
      <c r="G12" s="249"/>
      <c r="H12" s="254"/>
      <c r="I12" s="254"/>
      <c r="J12" s="254"/>
      <c r="K12" s="254"/>
      <c r="L12" s="254"/>
      <c r="M12" s="254"/>
      <c r="N12" s="254"/>
      <c r="O12" s="254"/>
      <c r="P12" s="254"/>
      <c r="Q12" s="250"/>
      <c r="R12" s="249"/>
      <c r="S12" s="254"/>
      <c r="T12" s="254"/>
      <c r="U12" s="254"/>
      <c r="V12" s="254"/>
      <c r="W12" s="254"/>
      <c r="X12" s="254"/>
      <c r="Y12" s="254"/>
      <c r="Z12" s="254"/>
      <c r="AA12" s="254"/>
      <c r="AB12" s="254"/>
      <c r="AC12" s="254"/>
      <c r="AD12" s="254"/>
      <c r="AE12" s="254"/>
      <c r="AF12" s="254"/>
      <c r="AG12" s="254"/>
      <c r="AH12" s="254"/>
      <c r="AI12" s="254"/>
      <c r="AJ12" s="254"/>
      <c r="AK12" s="254"/>
      <c r="AL12" s="254"/>
      <c r="AM12" s="254"/>
      <c r="AN12" s="254"/>
      <c r="AO12" s="254"/>
      <c r="AP12" s="254"/>
      <c r="AQ12" s="254"/>
      <c r="AR12" s="254"/>
      <c r="AS12" s="254"/>
      <c r="AT12" s="254"/>
      <c r="AU12" s="254"/>
      <c r="AV12" s="254"/>
      <c r="AW12" s="254"/>
      <c r="AX12" s="254"/>
      <c r="AY12" s="254"/>
      <c r="AZ12" s="254"/>
      <c r="BA12" s="254"/>
      <c r="BB12" s="254"/>
      <c r="BC12" s="254"/>
      <c r="BD12" s="254"/>
      <c r="BE12" s="254"/>
      <c r="BF12" s="254"/>
      <c r="BG12" s="254"/>
      <c r="BH12" s="250"/>
      <c r="BI12" s="424"/>
      <c r="BJ12" s="535"/>
      <c r="BK12" s="535"/>
      <c r="BL12" s="535"/>
      <c r="BM12" s="535"/>
      <c r="BN12" s="535"/>
      <c r="BO12" s="535"/>
      <c r="BP12" s="425"/>
      <c r="BQ12" s="446" t="s">
        <v>118</v>
      </c>
      <c r="BR12" s="447"/>
      <c r="BS12" s="447"/>
      <c r="BT12" s="447"/>
      <c r="BU12" s="520"/>
      <c r="BV12" s="520"/>
      <c r="BW12" s="520"/>
      <c r="BX12" s="520"/>
      <c r="BY12" s="520"/>
      <c r="BZ12" s="520"/>
      <c r="CA12" s="520"/>
      <c r="CB12" s="520"/>
      <c r="CC12" s="520"/>
      <c r="CD12" s="520"/>
      <c r="CE12" s="520"/>
      <c r="CF12" s="521"/>
      <c r="CG12" s="314" t="s">
        <v>119</v>
      </c>
      <c r="CH12" s="315"/>
      <c r="CI12" s="315"/>
      <c r="CJ12" s="315"/>
      <c r="CK12" s="536"/>
      <c r="CL12" s="536"/>
      <c r="CM12" s="536"/>
      <c r="CN12" s="536"/>
      <c r="CO12" s="536"/>
      <c r="CP12" s="536"/>
      <c r="CQ12" s="536"/>
      <c r="CR12" s="536"/>
      <c r="CS12" s="536"/>
      <c r="CT12" s="536"/>
      <c r="CU12" s="536"/>
      <c r="CV12" s="537"/>
      <c r="CW12" s="314" t="s">
        <v>120</v>
      </c>
      <c r="CX12" s="315"/>
      <c r="CY12" s="315"/>
      <c r="CZ12" s="315"/>
      <c r="DA12" s="536"/>
      <c r="DB12" s="536"/>
      <c r="DC12" s="536"/>
      <c r="DD12" s="537"/>
      <c r="DE12" s="446" t="s">
        <v>118</v>
      </c>
      <c r="DF12" s="447"/>
      <c r="DG12" s="447"/>
      <c r="DH12" s="447"/>
      <c r="DI12" s="520"/>
      <c r="DJ12" s="520"/>
      <c r="DK12" s="520"/>
      <c r="DL12" s="520"/>
      <c r="DM12" s="520"/>
      <c r="DN12" s="520"/>
      <c r="DO12" s="520"/>
      <c r="DP12" s="520"/>
      <c r="DQ12" s="520"/>
      <c r="DR12" s="520"/>
      <c r="DS12" s="520"/>
      <c r="DT12" s="521"/>
      <c r="DU12" s="314" t="s">
        <v>119</v>
      </c>
      <c r="DV12" s="315"/>
      <c r="DW12" s="315"/>
      <c r="DX12" s="315"/>
      <c r="DY12" s="536"/>
      <c r="DZ12" s="536"/>
      <c r="EA12" s="536"/>
      <c r="EB12" s="536"/>
      <c r="EC12" s="536"/>
      <c r="ED12" s="536"/>
      <c r="EE12" s="536"/>
      <c r="EF12" s="536"/>
      <c r="EG12" s="536"/>
      <c r="EH12" s="536"/>
      <c r="EI12" s="536"/>
      <c r="EJ12" s="537"/>
      <c r="EK12" s="314" t="s">
        <v>120</v>
      </c>
      <c r="EL12" s="315"/>
      <c r="EM12" s="315"/>
      <c r="EN12" s="315"/>
      <c r="EO12" s="536"/>
      <c r="EP12" s="536"/>
      <c r="EQ12" s="536"/>
      <c r="ER12" s="537"/>
    </row>
    <row r="13" spans="1:148" ht="15" customHeight="1" thickTop="1">
      <c r="A13" s="62"/>
      <c r="B13" s="63"/>
      <c r="C13" s="63"/>
      <c r="D13" s="63"/>
      <c r="E13" s="63"/>
      <c r="F13" s="63"/>
      <c r="G13" s="251"/>
      <c r="H13" s="255"/>
      <c r="I13" s="255"/>
      <c r="J13" s="255"/>
      <c r="K13" s="255"/>
      <c r="L13" s="255"/>
      <c r="M13" s="255"/>
      <c r="N13" s="255"/>
      <c r="O13" s="255"/>
      <c r="P13" s="255"/>
      <c r="Q13" s="252"/>
      <c r="R13" s="251"/>
      <c r="S13" s="255"/>
      <c r="T13" s="255"/>
      <c r="U13" s="255"/>
      <c r="V13" s="255"/>
      <c r="W13" s="255"/>
      <c r="X13" s="255"/>
      <c r="Y13" s="255"/>
      <c r="Z13" s="255"/>
      <c r="AA13" s="255"/>
      <c r="AB13" s="255"/>
      <c r="AC13" s="255"/>
      <c r="AD13" s="255"/>
      <c r="AE13" s="255"/>
      <c r="AF13" s="255"/>
      <c r="AG13" s="255"/>
      <c r="AH13" s="255"/>
      <c r="AI13" s="255"/>
      <c r="AJ13" s="255"/>
      <c r="AK13" s="255"/>
      <c r="AL13" s="255"/>
      <c r="AM13" s="255"/>
      <c r="AN13" s="255"/>
      <c r="AO13" s="255"/>
      <c r="AP13" s="255"/>
      <c r="AQ13" s="255"/>
      <c r="AR13" s="255"/>
      <c r="AS13" s="255"/>
      <c r="AT13" s="255"/>
      <c r="AU13" s="255"/>
      <c r="AV13" s="255"/>
      <c r="AW13" s="255"/>
      <c r="AX13" s="255"/>
      <c r="AY13" s="255"/>
      <c r="AZ13" s="255"/>
      <c r="BA13" s="255"/>
      <c r="BB13" s="255"/>
      <c r="BC13" s="255"/>
      <c r="BD13" s="255"/>
      <c r="BE13" s="255"/>
      <c r="BF13" s="255"/>
      <c r="BG13" s="255"/>
      <c r="BH13" s="252"/>
      <c r="BI13" s="512" t="s">
        <v>121</v>
      </c>
      <c r="BJ13" s="513"/>
      <c r="BK13" s="513"/>
      <c r="BL13" s="514"/>
      <c r="BM13" s="512" t="s">
        <v>122</v>
      </c>
      <c r="BN13" s="513"/>
      <c r="BO13" s="513"/>
      <c r="BP13" s="514"/>
      <c r="BQ13" s="515" t="s">
        <v>42</v>
      </c>
      <c r="BR13" s="516"/>
      <c r="BS13" s="516"/>
      <c r="BT13" s="516"/>
      <c r="BU13" s="515" t="s">
        <v>41</v>
      </c>
      <c r="BV13" s="516"/>
      <c r="BW13" s="516"/>
      <c r="BX13" s="516"/>
      <c r="BY13" s="516"/>
      <c r="BZ13" s="516"/>
      <c r="CA13" s="516"/>
      <c r="CB13" s="516"/>
      <c r="CC13" s="517" t="s">
        <v>123</v>
      </c>
      <c r="CD13" s="518"/>
      <c r="CE13" s="518"/>
      <c r="CF13" s="519"/>
      <c r="CG13" s="315" t="s">
        <v>42</v>
      </c>
      <c r="CH13" s="315"/>
      <c r="CI13" s="315"/>
      <c r="CJ13" s="315"/>
      <c r="CK13" s="385" t="s">
        <v>124</v>
      </c>
      <c r="CL13" s="385"/>
      <c r="CM13" s="385"/>
      <c r="CN13" s="385"/>
      <c r="CO13" s="385"/>
      <c r="CP13" s="385"/>
      <c r="CQ13" s="385"/>
      <c r="CR13" s="314"/>
      <c r="CS13" s="517" t="s">
        <v>123</v>
      </c>
      <c r="CT13" s="518"/>
      <c r="CU13" s="518"/>
      <c r="CV13" s="519"/>
      <c r="CW13" s="315" t="s">
        <v>42</v>
      </c>
      <c r="CX13" s="315"/>
      <c r="CY13" s="315"/>
      <c r="CZ13" s="315"/>
      <c r="DA13" s="517" t="s">
        <v>123</v>
      </c>
      <c r="DB13" s="518"/>
      <c r="DC13" s="518"/>
      <c r="DD13" s="519"/>
      <c r="DE13" s="516" t="s">
        <v>42</v>
      </c>
      <c r="DF13" s="516"/>
      <c r="DG13" s="516"/>
      <c r="DH13" s="516"/>
      <c r="DI13" s="625" t="s">
        <v>41</v>
      </c>
      <c r="DJ13" s="625"/>
      <c r="DK13" s="625"/>
      <c r="DL13" s="625"/>
      <c r="DM13" s="625"/>
      <c r="DN13" s="625"/>
      <c r="DO13" s="625"/>
      <c r="DP13" s="515"/>
      <c r="DQ13" s="517" t="s">
        <v>123</v>
      </c>
      <c r="DR13" s="518"/>
      <c r="DS13" s="518"/>
      <c r="DT13" s="519"/>
      <c r="DU13" s="315" t="s">
        <v>42</v>
      </c>
      <c r="DV13" s="315"/>
      <c r="DW13" s="315"/>
      <c r="DX13" s="315"/>
      <c r="DY13" s="385" t="s">
        <v>124</v>
      </c>
      <c r="DZ13" s="385"/>
      <c r="EA13" s="385"/>
      <c r="EB13" s="385"/>
      <c r="EC13" s="385"/>
      <c r="ED13" s="385"/>
      <c r="EE13" s="385"/>
      <c r="EF13" s="314"/>
      <c r="EG13" s="517" t="s">
        <v>123</v>
      </c>
      <c r="EH13" s="518"/>
      <c r="EI13" s="518"/>
      <c r="EJ13" s="519"/>
      <c r="EK13" s="315" t="s">
        <v>42</v>
      </c>
      <c r="EL13" s="315"/>
      <c r="EM13" s="315"/>
      <c r="EN13" s="315"/>
      <c r="EO13" s="517" t="s">
        <v>123</v>
      </c>
      <c r="EP13" s="518"/>
      <c r="EQ13" s="518"/>
      <c r="ER13" s="519"/>
    </row>
    <row r="14" spans="1:148" ht="51.95" customHeight="1">
      <c r="A14" s="472" t="s">
        <v>162</v>
      </c>
      <c r="B14" s="473"/>
      <c r="C14" s="473"/>
      <c r="D14" s="473"/>
      <c r="E14" s="473"/>
      <c r="F14" s="474"/>
      <c r="G14" s="530" t="s">
        <v>126</v>
      </c>
      <c r="H14" s="531"/>
      <c r="I14" s="531"/>
      <c r="J14" s="531"/>
      <c r="K14" s="531"/>
      <c r="L14" s="531"/>
      <c r="M14" s="531"/>
      <c r="N14" s="531"/>
      <c r="O14" s="531"/>
      <c r="P14" s="531"/>
      <c r="Q14" s="532"/>
      <c r="R14" s="530" t="s">
        <v>163</v>
      </c>
      <c r="S14" s="531"/>
      <c r="T14" s="531"/>
      <c r="U14" s="531"/>
      <c r="V14" s="531"/>
      <c r="W14" s="531"/>
      <c r="X14" s="531"/>
      <c r="Y14" s="531"/>
      <c r="Z14" s="531"/>
      <c r="AA14" s="531"/>
      <c r="AB14" s="531"/>
      <c r="AC14" s="531"/>
      <c r="AD14" s="531"/>
      <c r="AE14" s="531"/>
      <c r="AF14" s="531"/>
      <c r="AG14" s="531"/>
      <c r="AH14" s="531"/>
      <c r="AI14" s="531"/>
      <c r="AJ14" s="531"/>
      <c r="AK14" s="531"/>
      <c r="AL14" s="531"/>
      <c r="AM14" s="531"/>
      <c r="AN14" s="531"/>
      <c r="AO14" s="531"/>
      <c r="AP14" s="531"/>
      <c r="AQ14" s="531"/>
      <c r="AR14" s="531"/>
      <c r="AS14" s="531"/>
      <c r="AT14" s="531"/>
      <c r="AU14" s="531"/>
      <c r="AV14" s="531"/>
      <c r="AW14" s="531"/>
      <c r="AX14" s="531"/>
      <c r="AY14" s="531"/>
      <c r="AZ14" s="531"/>
      <c r="BA14" s="531"/>
      <c r="BB14" s="531"/>
      <c r="BC14" s="531"/>
      <c r="BD14" s="531"/>
      <c r="BE14" s="531"/>
      <c r="BF14" s="531"/>
      <c r="BG14" s="531"/>
      <c r="BH14" s="532"/>
      <c r="BI14" s="484">
        <v>15</v>
      </c>
      <c r="BJ14" s="485"/>
      <c r="BK14" s="485"/>
      <c r="BL14" s="522"/>
      <c r="BM14" s="540">
        <f>BI14+BI15+BI16+BI17+BI18+BI19</f>
        <v>70</v>
      </c>
      <c r="BN14" s="541"/>
      <c r="BO14" s="541"/>
      <c r="BP14" s="542"/>
      <c r="BQ14" s="523"/>
      <c r="BR14" s="524"/>
      <c r="BS14" s="524"/>
      <c r="BT14" s="524"/>
      <c r="BU14" s="538"/>
      <c r="BV14" s="538"/>
      <c r="BW14" s="538"/>
      <c r="BX14" s="538"/>
      <c r="BY14" s="538"/>
      <c r="BZ14" s="538"/>
      <c r="CA14" s="538"/>
      <c r="CB14" s="539"/>
      <c r="CC14" s="525" t="str">
        <f>IF($BI14*BQ14=0,"",$BI14*BQ14)</f>
        <v/>
      </c>
      <c r="CD14" s="526"/>
      <c r="CE14" s="526"/>
      <c r="CF14" s="527"/>
      <c r="CG14" s="523"/>
      <c r="CH14" s="524"/>
      <c r="CI14" s="524"/>
      <c r="CJ14" s="524"/>
      <c r="CK14" s="555"/>
      <c r="CL14" s="556"/>
      <c r="CM14" s="556"/>
      <c r="CN14" s="556"/>
      <c r="CO14" s="556"/>
      <c r="CP14" s="556"/>
      <c r="CQ14" s="556"/>
      <c r="CR14" s="557"/>
      <c r="CS14" s="525" t="str">
        <f>IF($BI14*CG14=0,"",$BI14*CG14)</f>
        <v/>
      </c>
      <c r="CT14" s="526"/>
      <c r="CU14" s="526"/>
      <c r="CV14" s="527"/>
      <c r="CW14" s="523">
        <f>CG14</f>
        <v>0</v>
      </c>
      <c r="CX14" s="524"/>
      <c r="CY14" s="524"/>
      <c r="CZ14" s="524"/>
      <c r="DA14" s="525" t="str">
        <f>IF($BI14*CW14=0,"",$BI14*CW14)</f>
        <v/>
      </c>
      <c r="DB14" s="526"/>
      <c r="DC14" s="526"/>
      <c r="DD14" s="527"/>
      <c r="DE14" s="523"/>
      <c r="DF14" s="524"/>
      <c r="DG14" s="524"/>
      <c r="DH14" s="524"/>
      <c r="DI14" s="555"/>
      <c r="DJ14" s="556"/>
      <c r="DK14" s="556"/>
      <c r="DL14" s="556"/>
      <c r="DM14" s="556"/>
      <c r="DN14" s="556"/>
      <c r="DO14" s="556"/>
      <c r="DP14" s="557"/>
      <c r="DQ14" s="525" t="str">
        <f>IF($BI14*DE14=0,"",$BI14*DE14)</f>
        <v/>
      </c>
      <c r="DR14" s="526"/>
      <c r="DS14" s="526"/>
      <c r="DT14" s="527"/>
      <c r="DU14" s="523"/>
      <c r="DV14" s="524"/>
      <c r="DW14" s="524"/>
      <c r="DX14" s="524"/>
      <c r="DY14" s="555"/>
      <c r="DZ14" s="556"/>
      <c r="EA14" s="556"/>
      <c r="EB14" s="556"/>
      <c r="EC14" s="556"/>
      <c r="ED14" s="556"/>
      <c r="EE14" s="556"/>
      <c r="EF14" s="556"/>
      <c r="EG14" s="525" t="str">
        <f>IF($BI14*DU14=0,"",$BI14*DU14)</f>
        <v/>
      </c>
      <c r="EH14" s="526"/>
      <c r="EI14" s="526"/>
      <c r="EJ14" s="527"/>
      <c r="EK14" s="523">
        <f>DU14</f>
        <v>0</v>
      </c>
      <c r="EL14" s="524"/>
      <c r="EM14" s="524"/>
      <c r="EN14" s="524"/>
      <c r="EO14" s="525" t="str">
        <f>IF($BI14*EK14=0,"",$BI14*EK14)</f>
        <v/>
      </c>
      <c r="EP14" s="526"/>
      <c r="EQ14" s="526"/>
      <c r="ER14" s="527"/>
    </row>
    <row r="15" spans="1:148" ht="51.95" customHeight="1">
      <c r="A15" s="475"/>
      <c r="B15" s="476"/>
      <c r="C15" s="476"/>
      <c r="D15" s="476"/>
      <c r="E15" s="476"/>
      <c r="F15" s="477"/>
      <c r="G15" s="530" t="s">
        <v>128</v>
      </c>
      <c r="H15" s="531"/>
      <c r="I15" s="531"/>
      <c r="J15" s="531"/>
      <c r="K15" s="531"/>
      <c r="L15" s="531"/>
      <c r="M15" s="531"/>
      <c r="N15" s="531"/>
      <c r="O15" s="531"/>
      <c r="P15" s="531"/>
      <c r="Q15" s="532"/>
      <c r="R15" s="530" t="s">
        <v>164</v>
      </c>
      <c r="S15" s="531"/>
      <c r="T15" s="531"/>
      <c r="U15" s="531"/>
      <c r="V15" s="531"/>
      <c r="W15" s="531"/>
      <c r="X15" s="531"/>
      <c r="Y15" s="531"/>
      <c r="Z15" s="531"/>
      <c r="AA15" s="531"/>
      <c r="AB15" s="531"/>
      <c r="AC15" s="531"/>
      <c r="AD15" s="531"/>
      <c r="AE15" s="531"/>
      <c r="AF15" s="531"/>
      <c r="AG15" s="531"/>
      <c r="AH15" s="531"/>
      <c r="AI15" s="531"/>
      <c r="AJ15" s="531"/>
      <c r="AK15" s="531"/>
      <c r="AL15" s="531"/>
      <c r="AM15" s="531"/>
      <c r="AN15" s="531"/>
      <c r="AO15" s="531"/>
      <c r="AP15" s="531"/>
      <c r="AQ15" s="531"/>
      <c r="AR15" s="531"/>
      <c r="AS15" s="531"/>
      <c r="AT15" s="531"/>
      <c r="AU15" s="531"/>
      <c r="AV15" s="531"/>
      <c r="AW15" s="531"/>
      <c r="AX15" s="531"/>
      <c r="AY15" s="531"/>
      <c r="AZ15" s="531"/>
      <c r="BA15" s="531"/>
      <c r="BB15" s="531"/>
      <c r="BC15" s="531"/>
      <c r="BD15" s="531"/>
      <c r="BE15" s="531"/>
      <c r="BF15" s="531"/>
      <c r="BG15" s="531"/>
      <c r="BH15" s="532"/>
      <c r="BI15" s="484">
        <v>15</v>
      </c>
      <c r="BJ15" s="485"/>
      <c r="BK15" s="485"/>
      <c r="BL15" s="522"/>
      <c r="BM15" s="543"/>
      <c r="BN15" s="544"/>
      <c r="BO15" s="544"/>
      <c r="BP15" s="545"/>
      <c r="BQ15" s="523"/>
      <c r="BR15" s="524"/>
      <c r="BS15" s="524"/>
      <c r="BT15" s="524"/>
      <c r="BU15" s="538"/>
      <c r="BV15" s="538"/>
      <c r="BW15" s="538"/>
      <c r="BX15" s="538"/>
      <c r="BY15" s="538"/>
      <c r="BZ15" s="538"/>
      <c r="CA15" s="538"/>
      <c r="CB15" s="539"/>
      <c r="CC15" s="525" t="str">
        <f>IF($BI15*BQ15=0,"",$BI15*BQ15)</f>
        <v/>
      </c>
      <c r="CD15" s="526"/>
      <c r="CE15" s="526"/>
      <c r="CF15" s="527"/>
      <c r="CG15" s="523"/>
      <c r="CH15" s="524"/>
      <c r="CI15" s="524"/>
      <c r="CJ15" s="524"/>
      <c r="CK15" s="558"/>
      <c r="CL15" s="559"/>
      <c r="CM15" s="559"/>
      <c r="CN15" s="559"/>
      <c r="CO15" s="559"/>
      <c r="CP15" s="559"/>
      <c r="CQ15" s="559"/>
      <c r="CR15" s="560"/>
      <c r="CS15" s="525" t="str">
        <f>IF($BI15*CG15=0,"",$BI15*CG15)</f>
        <v/>
      </c>
      <c r="CT15" s="526"/>
      <c r="CU15" s="526"/>
      <c r="CV15" s="527"/>
      <c r="CW15" s="523">
        <f t="shared" ref="CW15:CW24" si="0">CG15</f>
        <v>0</v>
      </c>
      <c r="CX15" s="524"/>
      <c r="CY15" s="524"/>
      <c r="CZ15" s="524"/>
      <c r="DA15" s="525" t="str">
        <f>IF($BI15*CW15=0,"",$BI15*CW15)</f>
        <v/>
      </c>
      <c r="DB15" s="526"/>
      <c r="DC15" s="526"/>
      <c r="DD15" s="527"/>
      <c r="DE15" s="523"/>
      <c r="DF15" s="524"/>
      <c r="DG15" s="524"/>
      <c r="DH15" s="524"/>
      <c r="DI15" s="558"/>
      <c r="DJ15" s="559"/>
      <c r="DK15" s="559"/>
      <c r="DL15" s="559"/>
      <c r="DM15" s="559"/>
      <c r="DN15" s="559"/>
      <c r="DO15" s="559"/>
      <c r="DP15" s="560"/>
      <c r="DQ15" s="525" t="str">
        <f>IF($BI15*DE15=0,"",$BI15*DE15)</f>
        <v/>
      </c>
      <c r="DR15" s="526"/>
      <c r="DS15" s="526"/>
      <c r="DT15" s="527"/>
      <c r="DU15" s="523"/>
      <c r="DV15" s="524"/>
      <c r="DW15" s="524"/>
      <c r="DX15" s="524"/>
      <c r="DY15" s="558"/>
      <c r="DZ15" s="559"/>
      <c r="EA15" s="559"/>
      <c r="EB15" s="559"/>
      <c r="EC15" s="559"/>
      <c r="ED15" s="559"/>
      <c r="EE15" s="559"/>
      <c r="EF15" s="559"/>
      <c r="EG15" s="525" t="str">
        <f>IF($BI15*DU15=0,"",$BI15*DU15)</f>
        <v/>
      </c>
      <c r="EH15" s="526"/>
      <c r="EI15" s="526"/>
      <c r="EJ15" s="527"/>
      <c r="EK15" s="523">
        <f t="shared" ref="EK15:EK24" si="1">DU15</f>
        <v>0</v>
      </c>
      <c r="EL15" s="524"/>
      <c r="EM15" s="524"/>
      <c r="EN15" s="524"/>
      <c r="EO15" s="525" t="str">
        <f>IF($BI15*EK15=0,"",$BI15*EK15)</f>
        <v/>
      </c>
      <c r="EP15" s="526"/>
      <c r="EQ15" s="526"/>
      <c r="ER15" s="527"/>
    </row>
    <row r="16" spans="1:148" ht="51.95" customHeight="1">
      <c r="A16" s="475"/>
      <c r="B16" s="476"/>
      <c r="C16" s="476"/>
      <c r="D16" s="476"/>
      <c r="E16" s="476"/>
      <c r="F16" s="477"/>
      <c r="G16" s="530" t="s">
        <v>130</v>
      </c>
      <c r="H16" s="531"/>
      <c r="I16" s="531"/>
      <c r="J16" s="531"/>
      <c r="K16" s="531"/>
      <c r="L16" s="531"/>
      <c r="M16" s="531"/>
      <c r="N16" s="531"/>
      <c r="O16" s="531"/>
      <c r="P16" s="531"/>
      <c r="Q16" s="532"/>
      <c r="R16" s="530" t="s">
        <v>131</v>
      </c>
      <c r="S16" s="531"/>
      <c r="T16" s="531"/>
      <c r="U16" s="531"/>
      <c r="V16" s="531"/>
      <c r="W16" s="531"/>
      <c r="X16" s="531"/>
      <c r="Y16" s="531"/>
      <c r="Z16" s="531"/>
      <c r="AA16" s="531"/>
      <c r="AB16" s="531"/>
      <c r="AC16" s="531"/>
      <c r="AD16" s="531"/>
      <c r="AE16" s="531"/>
      <c r="AF16" s="531"/>
      <c r="AG16" s="531"/>
      <c r="AH16" s="531"/>
      <c r="AI16" s="531"/>
      <c r="AJ16" s="531"/>
      <c r="AK16" s="531"/>
      <c r="AL16" s="531"/>
      <c r="AM16" s="531"/>
      <c r="AN16" s="531"/>
      <c r="AO16" s="531"/>
      <c r="AP16" s="531"/>
      <c r="AQ16" s="531"/>
      <c r="AR16" s="531"/>
      <c r="AS16" s="531"/>
      <c r="AT16" s="531"/>
      <c r="AU16" s="531"/>
      <c r="AV16" s="531"/>
      <c r="AW16" s="531"/>
      <c r="AX16" s="531"/>
      <c r="AY16" s="531"/>
      <c r="AZ16" s="531"/>
      <c r="BA16" s="531"/>
      <c r="BB16" s="531"/>
      <c r="BC16" s="531"/>
      <c r="BD16" s="531"/>
      <c r="BE16" s="531"/>
      <c r="BF16" s="531"/>
      <c r="BG16" s="531"/>
      <c r="BH16" s="532"/>
      <c r="BI16" s="484">
        <v>10</v>
      </c>
      <c r="BJ16" s="485"/>
      <c r="BK16" s="485"/>
      <c r="BL16" s="522"/>
      <c r="BM16" s="543"/>
      <c r="BN16" s="544"/>
      <c r="BO16" s="544"/>
      <c r="BP16" s="545"/>
      <c r="BQ16" s="523"/>
      <c r="BR16" s="524"/>
      <c r="BS16" s="524"/>
      <c r="BT16" s="524"/>
      <c r="BU16" s="538"/>
      <c r="BV16" s="538"/>
      <c r="BW16" s="538"/>
      <c r="BX16" s="538"/>
      <c r="BY16" s="538"/>
      <c r="BZ16" s="538"/>
      <c r="CA16" s="538"/>
      <c r="CB16" s="539"/>
      <c r="CC16" s="525" t="str">
        <f>IF($BI16*BQ16=0,"",$BI16*BQ16)</f>
        <v/>
      </c>
      <c r="CD16" s="526"/>
      <c r="CE16" s="526"/>
      <c r="CF16" s="527"/>
      <c r="CG16" s="523"/>
      <c r="CH16" s="524"/>
      <c r="CI16" s="524"/>
      <c r="CJ16" s="524"/>
      <c r="CK16" s="558"/>
      <c r="CL16" s="559"/>
      <c r="CM16" s="559"/>
      <c r="CN16" s="559"/>
      <c r="CO16" s="559"/>
      <c r="CP16" s="559"/>
      <c r="CQ16" s="559"/>
      <c r="CR16" s="560"/>
      <c r="CS16" s="525" t="str">
        <f>IF($BI16*CG16=0,"",$BI16*CG16)</f>
        <v/>
      </c>
      <c r="CT16" s="526"/>
      <c r="CU16" s="526"/>
      <c r="CV16" s="527"/>
      <c r="CW16" s="523">
        <f t="shared" si="0"/>
        <v>0</v>
      </c>
      <c r="CX16" s="524"/>
      <c r="CY16" s="524"/>
      <c r="CZ16" s="524"/>
      <c r="DA16" s="525" t="str">
        <f>IF($BI16*CW16=0,"",$BI16*CW16)</f>
        <v/>
      </c>
      <c r="DB16" s="526"/>
      <c r="DC16" s="526"/>
      <c r="DD16" s="527"/>
      <c r="DE16" s="523"/>
      <c r="DF16" s="524"/>
      <c r="DG16" s="524"/>
      <c r="DH16" s="524"/>
      <c r="DI16" s="558"/>
      <c r="DJ16" s="559"/>
      <c r="DK16" s="559"/>
      <c r="DL16" s="559"/>
      <c r="DM16" s="559"/>
      <c r="DN16" s="559"/>
      <c r="DO16" s="559"/>
      <c r="DP16" s="560"/>
      <c r="DQ16" s="525" t="str">
        <f>IF($BI16*DE16=0,"",$BI16*DE16)</f>
        <v/>
      </c>
      <c r="DR16" s="526"/>
      <c r="DS16" s="526"/>
      <c r="DT16" s="527"/>
      <c r="DU16" s="523"/>
      <c r="DV16" s="524"/>
      <c r="DW16" s="524"/>
      <c r="DX16" s="524"/>
      <c r="DY16" s="558"/>
      <c r="DZ16" s="559"/>
      <c r="EA16" s="559"/>
      <c r="EB16" s="559"/>
      <c r="EC16" s="559"/>
      <c r="ED16" s="559"/>
      <c r="EE16" s="559"/>
      <c r="EF16" s="559"/>
      <c r="EG16" s="525" t="str">
        <f>IF($BI16*DU16=0,"",$BI16*DU16)</f>
        <v/>
      </c>
      <c r="EH16" s="526"/>
      <c r="EI16" s="526"/>
      <c r="EJ16" s="527"/>
      <c r="EK16" s="523">
        <f t="shared" si="1"/>
        <v>0</v>
      </c>
      <c r="EL16" s="524"/>
      <c r="EM16" s="524"/>
      <c r="EN16" s="524"/>
      <c r="EO16" s="525" t="str">
        <f>IF($BI16*EK16=0,"",$BI16*EK16)</f>
        <v/>
      </c>
      <c r="EP16" s="526"/>
      <c r="EQ16" s="526"/>
      <c r="ER16" s="527"/>
    </row>
    <row r="17" spans="1:148" ht="51.95" customHeight="1">
      <c r="A17" s="475"/>
      <c r="B17" s="476"/>
      <c r="C17" s="476"/>
      <c r="D17" s="476"/>
      <c r="E17" s="476"/>
      <c r="F17" s="477"/>
      <c r="G17" s="530" t="s">
        <v>132</v>
      </c>
      <c r="H17" s="531"/>
      <c r="I17" s="531"/>
      <c r="J17" s="531"/>
      <c r="K17" s="531"/>
      <c r="L17" s="531"/>
      <c r="M17" s="531"/>
      <c r="N17" s="531"/>
      <c r="O17" s="531"/>
      <c r="P17" s="531"/>
      <c r="Q17" s="532"/>
      <c r="R17" s="530" t="s">
        <v>165</v>
      </c>
      <c r="S17" s="531"/>
      <c r="T17" s="531"/>
      <c r="U17" s="531"/>
      <c r="V17" s="531"/>
      <c r="W17" s="531"/>
      <c r="X17" s="531"/>
      <c r="Y17" s="531"/>
      <c r="Z17" s="531"/>
      <c r="AA17" s="531"/>
      <c r="AB17" s="531"/>
      <c r="AC17" s="531"/>
      <c r="AD17" s="531"/>
      <c r="AE17" s="531"/>
      <c r="AF17" s="531"/>
      <c r="AG17" s="531"/>
      <c r="AH17" s="531"/>
      <c r="AI17" s="531"/>
      <c r="AJ17" s="531"/>
      <c r="AK17" s="531"/>
      <c r="AL17" s="531"/>
      <c r="AM17" s="531"/>
      <c r="AN17" s="531"/>
      <c r="AO17" s="531"/>
      <c r="AP17" s="531"/>
      <c r="AQ17" s="531"/>
      <c r="AR17" s="531"/>
      <c r="AS17" s="531"/>
      <c r="AT17" s="531"/>
      <c r="AU17" s="531"/>
      <c r="AV17" s="531"/>
      <c r="AW17" s="531"/>
      <c r="AX17" s="531"/>
      <c r="AY17" s="531"/>
      <c r="AZ17" s="531"/>
      <c r="BA17" s="531"/>
      <c r="BB17" s="531"/>
      <c r="BC17" s="531"/>
      <c r="BD17" s="531"/>
      <c r="BE17" s="531"/>
      <c r="BF17" s="531"/>
      <c r="BG17" s="531"/>
      <c r="BH17" s="532"/>
      <c r="BI17" s="484">
        <v>10</v>
      </c>
      <c r="BJ17" s="485"/>
      <c r="BK17" s="485"/>
      <c r="BL17" s="522"/>
      <c r="BM17" s="543"/>
      <c r="BN17" s="544"/>
      <c r="BO17" s="544"/>
      <c r="BP17" s="545"/>
      <c r="BQ17" s="523"/>
      <c r="BR17" s="524"/>
      <c r="BS17" s="524"/>
      <c r="BT17" s="524"/>
      <c r="BU17" s="538"/>
      <c r="BV17" s="538"/>
      <c r="BW17" s="538"/>
      <c r="BX17" s="538"/>
      <c r="BY17" s="538"/>
      <c r="BZ17" s="538"/>
      <c r="CA17" s="538"/>
      <c r="CB17" s="539"/>
      <c r="CC17" s="525" t="str">
        <f>IF($BI17*BQ17=0,"",$BI17*BQ17)</f>
        <v/>
      </c>
      <c r="CD17" s="526"/>
      <c r="CE17" s="526"/>
      <c r="CF17" s="527"/>
      <c r="CG17" s="523"/>
      <c r="CH17" s="524"/>
      <c r="CI17" s="524"/>
      <c r="CJ17" s="524"/>
      <c r="CK17" s="558"/>
      <c r="CL17" s="559"/>
      <c r="CM17" s="559"/>
      <c r="CN17" s="559"/>
      <c r="CO17" s="559"/>
      <c r="CP17" s="559"/>
      <c r="CQ17" s="559"/>
      <c r="CR17" s="560"/>
      <c r="CS17" s="525" t="str">
        <f>IF($BI17*CG17=0,"",$BI17*CG17)</f>
        <v/>
      </c>
      <c r="CT17" s="526"/>
      <c r="CU17" s="526"/>
      <c r="CV17" s="527"/>
      <c r="CW17" s="523">
        <f t="shared" si="0"/>
        <v>0</v>
      </c>
      <c r="CX17" s="524"/>
      <c r="CY17" s="524"/>
      <c r="CZ17" s="524"/>
      <c r="DA17" s="525" t="str">
        <f>IF($BI17*CW17=0,"",$BI17*CW17)</f>
        <v/>
      </c>
      <c r="DB17" s="526"/>
      <c r="DC17" s="526"/>
      <c r="DD17" s="527"/>
      <c r="DE17" s="523"/>
      <c r="DF17" s="524"/>
      <c r="DG17" s="524"/>
      <c r="DH17" s="524"/>
      <c r="DI17" s="558"/>
      <c r="DJ17" s="559"/>
      <c r="DK17" s="559"/>
      <c r="DL17" s="559"/>
      <c r="DM17" s="559"/>
      <c r="DN17" s="559"/>
      <c r="DO17" s="559"/>
      <c r="DP17" s="560"/>
      <c r="DQ17" s="525" t="str">
        <f>IF($BI17*DE17=0,"",$BI17*DE17)</f>
        <v/>
      </c>
      <c r="DR17" s="526"/>
      <c r="DS17" s="526"/>
      <c r="DT17" s="527"/>
      <c r="DU17" s="523"/>
      <c r="DV17" s="524"/>
      <c r="DW17" s="524"/>
      <c r="DX17" s="524"/>
      <c r="DY17" s="558"/>
      <c r="DZ17" s="559"/>
      <c r="EA17" s="559"/>
      <c r="EB17" s="559"/>
      <c r="EC17" s="559"/>
      <c r="ED17" s="559"/>
      <c r="EE17" s="559"/>
      <c r="EF17" s="559"/>
      <c r="EG17" s="525" t="str">
        <f>IF($BI17*DU17=0,"",$BI17*DU17)</f>
        <v/>
      </c>
      <c r="EH17" s="526"/>
      <c r="EI17" s="526"/>
      <c r="EJ17" s="527"/>
      <c r="EK17" s="523">
        <f t="shared" si="1"/>
        <v>0</v>
      </c>
      <c r="EL17" s="524"/>
      <c r="EM17" s="524"/>
      <c r="EN17" s="524"/>
      <c r="EO17" s="525" t="str">
        <f>IF($BI17*EK17=0,"",$BI17*EK17)</f>
        <v/>
      </c>
      <c r="EP17" s="526"/>
      <c r="EQ17" s="526"/>
      <c r="ER17" s="527"/>
    </row>
    <row r="18" spans="1:148" ht="51.95" customHeight="1">
      <c r="A18" s="475"/>
      <c r="B18" s="476"/>
      <c r="C18" s="476"/>
      <c r="D18" s="476"/>
      <c r="E18" s="476"/>
      <c r="F18" s="477"/>
      <c r="G18" s="530" t="s">
        <v>134</v>
      </c>
      <c r="H18" s="531"/>
      <c r="I18" s="531"/>
      <c r="J18" s="531"/>
      <c r="K18" s="531"/>
      <c r="L18" s="531"/>
      <c r="M18" s="531"/>
      <c r="N18" s="531"/>
      <c r="O18" s="531"/>
      <c r="P18" s="531"/>
      <c r="Q18" s="532"/>
      <c r="R18" s="530" t="s">
        <v>166</v>
      </c>
      <c r="S18" s="531"/>
      <c r="T18" s="531"/>
      <c r="U18" s="531"/>
      <c r="V18" s="531"/>
      <c r="W18" s="531"/>
      <c r="X18" s="531"/>
      <c r="Y18" s="531"/>
      <c r="Z18" s="531"/>
      <c r="AA18" s="531"/>
      <c r="AB18" s="531"/>
      <c r="AC18" s="531"/>
      <c r="AD18" s="531"/>
      <c r="AE18" s="531"/>
      <c r="AF18" s="531"/>
      <c r="AG18" s="531"/>
      <c r="AH18" s="531"/>
      <c r="AI18" s="531"/>
      <c r="AJ18" s="531"/>
      <c r="AK18" s="531"/>
      <c r="AL18" s="531"/>
      <c r="AM18" s="531"/>
      <c r="AN18" s="531"/>
      <c r="AO18" s="531"/>
      <c r="AP18" s="531"/>
      <c r="AQ18" s="531"/>
      <c r="AR18" s="531"/>
      <c r="AS18" s="531"/>
      <c r="AT18" s="531"/>
      <c r="AU18" s="531"/>
      <c r="AV18" s="531"/>
      <c r="AW18" s="531"/>
      <c r="AX18" s="531"/>
      <c r="AY18" s="531"/>
      <c r="AZ18" s="531"/>
      <c r="BA18" s="531"/>
      <c r="BB18" s="531"/>
      <c r="BC18" s="531"/>
      <c r="BD18" s="531"/>
      <c r="BE18" s="531"/>
      <c r="BF18" s="531"/>
      <c r="BG18" s="531"/>
      <c r="BH18" s="532"/>
      <c r="BI18" s="484">
        <v>10</v>
      </c>
      <c r="BJ18" s="485"/>
      <c r="BK18" s="485"/>
      <c r="BL18" s="522"/>
      <c r="BM18" s="543"/>
      <c r="BN18" s="544"/>
      <c r="BO18" s="544"/>
      <c r="BP18" s="545"/>
      <c r="BQ18" s="523"/>
      <c r="BR18" s="524"/>
      <c r="BS18" s="524"/>
      <c r="BT18" s="524"/>
      <c r="BU18" s="538"/>
      <c r="BV18" s="538"/>
      <c r="BW18" s="538"/>
      <c r="BX18" s="538"/>
      <c r="BY18" s="538"/>
      <c r="BZ18" s="538"/>
      <c r="CA18" s="538"/>
      <c r="CB18" s="539"/>
      <c r="CC18" s="525" t="str">
        <f>IF($BI18*BQ18=0,"",$BI18*BQ18)</f>
        <v/>
      </c>
      <c r="CD18" s="526"/>
      <c r="CE18" s="526"/>
      <c r="CF18" s="527"/>
      <c r="CG18" s="523"/>
      <c r="CH18" s="524"/>
      <c r="CI18" s="524"/>
      <c r="CJ18" s="524"/>
      <c r="CK18" s="558"/>
      <c r="CL18" s="559"/>
      <c r="CM18" s="559"/>
      <c r="CN18" s="559"/>
      <c r="CO18" s="559"/>
      <c r="CP18" s="559"/>
      <c r="CQ18" s="559"/>
      <c r="CR18" s="560"/>
      <c r="CS18" s="525" t="str">
        <f>IF($BI18*CG18=0,"",$BI18*CG18)</f>
        <v/>
      </c>
      <c r="CT18" s="526"/>
      <c r="CU18" s="526"/>
      <c r="CV18" s="527"/>
      <c r="CW18" s="523">
        <f t="shared" si="0"/>
        <v>0</v>
      </c>
      <c r="CX18" s="524"/>
      <c r="CY18" s="524"/>
      <c r="CZ18" s="524"/>
      <c r="DA18" s="525" t="str">
        <f>IF($BI18*CW18=0,"",$BI18*CW18)</f>
        <v/>
      </c>
      <c r="DB18" s="526"/>
      <c r="DC18" s="526"/>
      <c r="DD18" s="527"/>
      <c r="DE18" s="523"/>
      <c r="DF18" s="524"/>
      <c r="DG18" s="524"/>
      <c r="DH18" s="524"/>
      <c r="DI18" s="558"/>
      <c r="DJ18" s="559"/>
      <c r="DK18" s="559"/>
      <c r="DL18" s="559"/>
      <c r="DM18" s="559"/>
      <c r="DN18" s="559"/>
      <c r="DO18" s="559"/>
      <c r="DP18" s="560"/>
      <c r="DQ18" s="525" t="str">
        <f>IF($BI18*DE18=0,"",$BI18*DE18)</f>
        <v/>
      </c>
      <c r="DR18" s="526"/>
      <c r="DS18" s="526"/>
      <c r="DT18" s="527"/>
      <c r="DU18" s="523"/>
      <c r="DV18" s="524"/>
      <c r="DW18" s="524"/>
      <c r="DX18" s="524"/>
      <c r="DY18" s="558"/>
      <c r="DZ18" s="559"/>
      <c r="EA18" s="559"/>
      <c r="EB18" s="559"/>
      <c r="EC18" s="559"/>
      <c r="ED18" s="559"/>
      <c r="EE18" s="559"/>
      <c r="EF18" s="559"/>
      <c r="EG18" s="525" t="str">
        <f>IF($BI18*DU18=0,"",$BI18*DU18)</f>
        <v/>
      </c>
      <c r="EH18" s="526"/>
      <c r="EI18" s="526"/>
      <c r="EJ18" s="527"/>
      <c r="EK18" s="523">
        <f t="shared" si="1"/>
        <v>0</v>
      </c>
      <c r="EL18" s="524"/>
      <c r="EM18" s="524"/>
      <c r="EN18" s="524"/>
      <c r="EO18" s="525" t="str">
        <f>IF($BI18*EK18=0,"",$BI18*EK18)</f>
        <v/>
      </c>
      <c r="EP18" s="526"/>
      <c r="EQ18" s="526"/>
      <c r="ER18" s="527"/>
    </row>
    <row r="19" spans="1:148" ht="51.95" customHeight="1">
      <c r="A19" s="478"/>
      <c r="B19" s="479"/>
      <c r="C19" s="479"/>
      <c r="D19" s="479"/>
      <c r="E19" s="479"/>
      <c r="F19" s="480"/>
      <c r="G19" s="530" t="s">
        <v>136</v>
      </c>
      <c r="H19" s="531"/>
      <c r="I19" s="531"/>
      <c r="J19" s="531"/>
      <c r="K19" s="531"/>
      <c r="L19" s="531"/>
      <c r="M19" s="531"/>
      <c r="N19" s="531"/>
      <c r="O19" s="531"/>
      <c r="P19" s="531"/>
      <c r="Q19" s="532"/>
      <c r="R19" s="530" t="s">
        <v>167</v>
      </c>
      <c r="S19" s="531"/>
      <c r="T19" s="531"/>
      <c r="U19" s="531"/>
      <c r="V19" s="531"/>
      <c r="W19" s="531"/>
      <c r="X19" s="531"/>
      <c r="Y19" s="531"/>
      <c r="Z19" s="531"/>
      <c r="AA19" s="531"/>
      <c r="AB19" s="531"/>
      <c r="AC19" s="531"/>
      <c r="AD19" s="531"/>
      <c r="AE19" s="531"/>
      <c r="AF19" s="531"/>
      <c r="AG19" s="531"/>
      <c r="AH19" s="531"/>
      <c r="AI19" s="531"/>
      <c r="AJ19" s="531"/>
      <c r="AK19" s="531"/>
      <c r="AL19" s="531"/>
      <c r="AM19" s="531"/>
      <c r="AN19" s="531"/>
      <c r="AO19" s="531"/>
      <c r="AP19" s="531"/>
      <c r="AQ19" s="531"/>
      <c r="AR19" s="531"/>
      <c r="AS19" s="531"/>
      <c r="AT19" s="531"/>
      <c r="AU19" s="531"/>
      <c r="AV19" s="531"/>
      <c r="AW19" s="531"/>
      <c r="AX19" s="531"/>
      <c r="AY19" s="531"/>
      <c r="AZ19" s="531"/>
      <c r="BA19" s="531"/>
      <c r="BB19" s="531"/>
      <c r="BC19" s="531"/>
      <c r="BD19" s="531"/>
      <c r="BE19" s="531"/>
      <c r="BF19" s="531"/>
      <c r="BG19" s="531"/>
      <c r="BH19" s="532"/>
      <c r="BI19" s="484">
        <v>10</v>
      </c>
      <c r="BJ19" s="485"/>
      <c r="BK19" s="485"/>
      <c r="BL19" s="522"/>
      <c r="BM19" s="546"/>
      <c r="BN19" s="547"/>
      <c r="BO19" s="547"/>
      <c r="BP19" s="548"/>
      <c r="BQ19" s="523"/>
      <c r="BR19" s="524"/>
      <c r="BS19" s="524"/>
      <c r="BT19" s="524"/>
      <c r="BU19" s="538"/>
      <c r="BV19" s="538"/>
      <c r="BW19" s="538"/>
      <c r="BX19" s="538"/>
      <c r="BY19" s="538"/>
      <c r="BZ19" s="538"/>
      <c r="CA19" s="538"/>
      <c r="CB19" s="539"/>
      <c r="CC19" s="525" t="str">
        <f t="shared" ref="CC19:CC24" si="2">IF($BI19*BQ19=0,"",$BI19*BQ19)</f>
        <v/>
      </c>
      <c r="CD19" s="526"/>
      <c r="CE19" s="526"/>
      <c r="CF19" s="527"/>
      <c r="CG19" s="523"/>
      <c r="CH19" s="524"/>
      <c r="CI19" s="524"/>
      <c r="CJ19" s="524"/>
      <c r="CK19" s="561"/>
      <c r="CL19" s="562"/>
      <c r="CM19" s="562"/>
      <c r="CN19" s="562"/>
      <c r="CO19" s="562"/>
      <c r="CP19" s="562"/>
      <c r="CQ19" s="562"/>
      <c r="CR19" s="563"/>
      <c r="CS19" s="525" t="str">
        <f t="shared" ref="CS19:CS24" si="3">IF($BI19*CG19=0,"",$BI19*CG19)</f>
        <v/>
      </c>
      <c r="CT19" s="526"/>
      <c r="CU19" s="526"/>
      <c r="CV19" s="527"/>
      <c r="CW19" s="523">
        <f t="shared" si="0"/>
        <v>0</v>
      </c>
      <c r="CX19" s="524"/>
      <c r="CY19" s="524"/>
      <c r="CZ19" s="524"/>
      <c r="DA19" s="525" t="str">
        <f t="shared" ref="DA19:DA24" si="4">IF($BI19*CW19=0,"",$BI19*CW19)</f>
        <v/>
      </c>
      <c r="DB19" s="526"/>
      <c r="DC19" s="526"/>
      <c r="DD19" s="527"/>
      <c r="DE19" s="523"/>
      <c r="DF19" s="524"/>
      <c r="DG19" s="524"/>
      <c r="DH19" s="524"/>
      <c r="DI19" s="561"/>
      <c r="DJ19" s="562"/>
      <c r="DK19" s="562"/>
      <c r="DL19" s="562"/>
      <c r="DM19" s="562"/>
      <c r="DN19" s="562"/>
      <c r="DO19" s="562"/>
      <c r="DP19" s="563"/>
      <c r="DQ19" s="525" t="str">
        <f t="shared" ref="DQ19:DQ24" si="5">IF($BI19*DE19=0,"",$BI19*DE19)</f>
        <v/>
      </c>
      <c r="DR19" s="526"/>
      <c r="DS19" s="526"/>
      <c r="DT19" s="527"/>
      <c r="DU19" s="523"/>
      <c r="DV19" s="524"/>
      <c r="DW19" s="524"/>
      <c r="DX19" s="524"/>
      <c r="DY19" s="561"/>
      <c r="DZ19" s="562"/>
      <c r="EA19" s="562"/>
      <c r="EB19" s="562"/>
      <c r="EC19" s="562"/>
      <c r="ED19" s="562"/>
      <c r="EE19" s="562"/>
      <c r="EF19" s="562"/>
      <c r="EG19" s="525" t="str">
        <f t="shared" ref="EG19:EG24" si="6">IF($BI19*DU19=0,"",$BI19*DU19)</f>
        <v/>
      </c>
      <c r="EH19" s="526"/>
      <c r="EI19" s="526"/>
      <c r="EJ19" s="527"/>
      <c r="EK19" s="523">
        <f t="shared" si="1"/>
        <v>0</v>
      </c>
      <c r="EL19" s="524"/>
      <c r="EM19" s="524"/>
      <c r="EN19" s="524"/>
      <c r="EO19" s="525" t="str">
        <f t="shared" ref="EO19:EO24" si="7">IF($BI19*EK19=0,"",$BI19*EK19)</f>
        <v/>
      </c>
      <c r="EP19" s="526"/>
      <c r="EQ19" s="526"/>
      <c r="ER19" s="527"/>
    </row>
    <row r="20" spans="1:148" ht="51.95" customHeight="1">
      <c r="A20" s="472" t="s">
        <v>168</v>
      </c>
      <c r="B20" s="473"/>
      <c r="C20" s="473"/>
      <c r="D20" s="473"/>
      <c r="E20" s="473"/>
      <c r="F20" s="474"/>
      <c r="G20" s="530" t="s">
        <v>169</v>
      </c>
      <c r="H20" s="531"/>
      <c r="I20" s="531"/>
      <c r="J20" s="531"/>
      <c r="K20" s="531"/>
      <c r="L20" s="531"/>
      <c r="M20" s="531"/>
      <c r="N20" s="531"/>
      <c r="O20" s="531"/>
      <c r="P20" s="531"/>
      <c r="Q20" s="532"/>
      <c r="R20" s="530" t="s">
        <v>170</v>
      </c>
      <c r="S20" s="531"/>
      <c r="T20" s="531"/>
      <c r="U20" s="531"/>
      <c r="V20" s="531"/>
      <c r="W20" s="531"/>
      <c r="X20" s="531"/>
      <c r="Y20" s="531"/>
      <c r="Z20" s="531"/>
      <c r="AA20" s="531"/>
      <c r="AB20" s="531"/>
      <c r="AC20" s="531"/>
      <c r="AD20" s="531"/>
      <c r="AE20" s="531"/>
      <c r="AF20" s="531"/>
      <c r="AG20" s="531"/>
      <c r="AH20" s="531"/>
      <c r="AI20" s="531"/>
      <c r="AJ20" s="531"/>
      <c r="AK20" s="531"/>
      <c r="AL20" s="531"/>
      <c r="AM20" s="531"/>
      <c r="AN20" s="531"/>
      <c r="AO20" s="531"/>
      <c r="AP20" s="531"/>
      <c r="AQ20" s="531"/>
      <c r="AR20" s="531"/>
      <c r="AS20" s="531"/>
      <c r="AT20" s="531"/>
      <c r="AU20" s="531"/>
      <c r="AV20" s="531"/>
      <c r="AW20" s="531"/>
      <c r="AX20" s="531"/>
      <c r="AY20" s="531"/>
      <c r="AZ20" s="531"/>
      <c r="BA20" s="531"/>
      <c r="BB20" s="531"/>
      <c r="BC20" s="531"/>
      <c r="BD20" s="531"/>
      <c r="BE20" s="531"/>
      <c r="BF20" s="531"/>
      <c r="BG20" s="531"/>
      <c r="BH20" s="532"/>
      <c r="BI20" s="484">
        <v>5</v>
      </c>
      <c r="BJ20" s="485"/>
      <c r="BK20" s="485"/>
      <c r="BL20" s="522"/>
      <c r="BM20" s="540">
        <f>BI20+BI21+BI22+BI23+BI24</f>
        <v>30</v>
      </c>
      <c r="BN20" s="541"/>
      <c r="BO20" s="541"/>
      <c r="BP20" s="542"/>
      <c r="BQ20" s="523"/>
      <c r="BR20" s="524"/>
      <c r="BS20" s="524"/>
      <c r="BT20" s="524"/>
      <c r="BU20" s="549"/>
      <c r="BV20" s="550"/>
      <c r="BW20" s="550"/>
      <c r="BX20" s="550"/>
      <c r="BY20" s="550"/>
      <c r="BZ20" s="550"/>
      <c r="CA20" s="550"/>
      <c r="CB20" s="550"/>
      <c r="CC20" s="525" t="str">
        <f t="shared" si="2"/>
        <v/>
      </c>
      <c r="CD20" s="526"/>
      <c r="CE20" s="526"/>
      <c r="CF20" s="527"/>
      <c r="CG20" s="523"/>
      <c r="CH20" s="524"/>
      <c r="CI20" s="524"/>
      <c r="CJ20" s="524"/>
      <c r="CK20" s="555"/>
      <c r="CL20" s="556"/>
      <c r="CM20" s="556"/>
      <c r="CN20" s="556"/>
      <c r="CO20" s="556"/>
      <c r="CP20" s="556"/>
      <c r="CQ20" s="556"/>
      <c r="CR20" s="557"/>
      <c r="CS20" s="525" t="str">
        <f t="shared" si="3"/>
        <v/>
      </c>
      <c r="CT20" s="526"/>
      <c r="CU20" s="526"/>
      <c r="CV20" s="527"/>
      <c r="CW20" s="523">
        <f t="shared" si="0"/>
        <v>0</v>
      </c>
      <c r="CX20" s="524"/>
      <c r="CY20" s="524"/>
      <c r="CZ20" s="524"/>
      <c r="DA20" s="525" t="str">
        <f t="shared" si="4"/>
        <v/>
      </c>
      <c r="DB20" s="526"/>
      <c r="DC20" s="526"/>
      <c r="DD20" s="527"/>
      <c r="DE20" s="523"/>
      <c r="DF20" s="524"/>
      <c r="DG20" s="524"/>
      <c r="DH20" s="524"/>
      <c r="DI20" s="555"/>
      <c r="DJ20" s="556"/>
      <c r="DK20" s="556"/>
      <c r="DL20" s="556"/>
      <c r="DM20" s="556"/>
      <c r="DN20" s="556"/>
      <c r="DO20" s="556"/>
      <c r="DP20" s="557"/>
      <c r="DQ20" s="525" t="str">
        <f t="shared" si="5"/>
        <v/>
      </c>
      <c r="DR20" s="526"/>
      <c r="DS20" s="526"/>
      <c r="DT20" s="527"/>
      <c r="DU20" s="523"/>
      <c r="DV20" s="524"/>
      <c r="DW20" s="524"/>
      <c r="DX20" s="524"/>
      <c r="DY20" s="555"/>
      <c r="DZ20" s="556"/>
      <c r="EA20" s="556"/>
      <c r="EB20" s="556"/>
      <c r="EC20" s="556"/>
      <c r="ED20" s="556"/>
      <c r="EE20" s="556"/>
      <c r="EF20" s="556"/>
      <c r="EG20" s="525" t="str">
        <f t="shared" si="6"/>
        <v/>
      </c>
      <c r="EH20" s="526"/>
      <c r="EI20" s="526"/>
      <c r="EJ20" s="527"/>
      <c r="EK20" s="523">
        <f t="shared" si="1"/>
        <v>0</v>
      </c>
      <c r="EL20" s="524"/>
      <c r="EM20" s="524"/>
      <c r="EN20" s="524"/>
      <c r="EO20" s="525" t="str">
        <f t="shared" si="7"/>
        <v/>
      </c>
      <c r="EP20" s="526"/>
      <c r="EQ20" s="526"/>
      <c r="ER20" s="527"/>
    </row>
    <row r="21" spans="1:148" ht="51.95" customHeight="1">
      <c r="A21" s="475"/>
      <c r="B21" s="476"/>
      <c r="C21" s="476"/>
      <c r="D21" s="476"/>
      <c r="E21" s="476"/>
      <c r="F21" s="477"/>
      <c r="G21" s="530" t="s">
        <v>171</v>
      </c>
      <c r="H21" s="531"/>
      <c r="I21" s="531"/>
      <c r="J21" s="531"/>
      <c r="K21" s="531"/>
      <c r="L21" s="531"/>
      <c r="M21" s="531"/>
      <c r="N21" s="531"/>
      <c r="O21" s="531"/>
      <c r="P21" s="531"/>
      <c r="Q21" s="532"/>
      <c r="R21" s="530" t="s">
        <v>172</v>
      </c>
      <c r="S21" s="531"/>
      <c r="T21" s="531"/>
      <c r="U21" s="531"/>
      <c r="V21" s="531"/>
      <c r="W21" s="531"/>
      <c r="X21" s="531"/>
      <c r="Y21" s="531"/>
      <c r="Z21" s="531"/>
      <c r="AA21" s="531"/>
      <c r="AB21" s="531"/>
      <c r="AC21" s="531"/>
      <c r="AD21" s="531"/>
      <c r="AE21" s="531"/>
      <c r="AF21" s="531"/>
      <c r="AG21" s="531"/>
      <c r="AH21" s="531"/>
      <c r="AI21" s="531"/>
      <c r="AJ21" s="531"/>
      <c r="AK21" s="531"/>
      <c r="AL21" s="531"/>
      <c r="AM21" s="531"/>
      <c r="AN21" s="531"/>
      <c r="AO21" s="531"/>
      <c r="AP21" s="531"/>
      <c r="AQ21" s="531"/>
      <c r="AR21" s="531"/>
      <c r="AS21" s="531"/>
      <c r="AT21" s="531"/>
      <c r="AU21" s="531"/>
      <c r="AV21" s="531"/>
      <c r="AW21" s="531"/>
      <c r="AX21" s="531"/>
      <c r="AY21" s="531"/>
      <c r="AZ21" s="531"/>
      <c r="BA21" s="531"/>
      <c r="BB21" s="531"/>
      <c r="BC21" s="531"/>
      <c r="BD21" s="531"/>
      <c r="BE21" s="531"/>
      <c r="BF21" s="531"/>
      <c r="BG21" s="531"/>
      <c r="BH21" s="532"/>
      <c r="BI21" s="484">
        <v>10</v>
      </c>
      <c r="BJ21" s="485"/>
      <c r="BK21" s="485"/>
      <c r="BL21" s="522"/>
      <c r="BM21" s="543"/>
      <c r="BN21" s="544"/>
      <c r="BO21" s="544"/>
      <c r="BP21" s="545"/>
      <c r="BQ21" s="523"/>
      <c r="BR21" s="524"/>
      <c r="BS21" s="524"/>
      <c r="BT21" s="524"/>
      <c r="BU21" s="551"/>
      <c r="BV21" s="552"/>
      <c r="BW21" s="552"/>
      <c r="BX21" s="552"/>
      <c r="BY21" s="552"/>
      <c r="BZ21" s="552"/>
      <c r="CA21" s="552"/>
      <c r="CB21" s="552"/>
      <c r="CC21" s="525" t="str">
        <f t="shared" si="2"/>
        <v/>
      </c>
      <c r="CD21" s="526"/>
      <c r="CE21" s="526"/>
      <c r="CF21" s="527"/>
      <c r="CG21" s="523"/>
      <c r="CH21" s="524"/>
      <c r="CI21" s="524"/>
      <c r="CJ21" s="524"/>
      <c r="CK21" s="558"/>
      <c r="CL21" s="559"/>
      <c r="CM21" s="559"/>
      <c r="CN21" s="559"/>
      <c r="CO21" s="559"/>
      <c r="CP21" s="559"/>
      <c r="CQ21" s="559"/>
      <c r="CR21" s="560"/>
      <c r="CS21" s="525" t="str">
        <f t="shared" si="3"/>
        <v/>
      </c>
      <c r="CT21" s="526"/>
      <c r="CU21" s="526"/>
      <c r="CV21" s="527"/>
      <c r="CW21" s="523">
        <f t="shared" si="0"/>
        <v>0</v>
      </c>
      <c r="CX21" s="524"/>
      <c r="CY21" s="524"/>
      <c r="CZ21" s="524"/>
      <c r="DA21" s="525" t="str">
        <f t="shared" si="4"/>
        <v/>
      </c>
      <c r="DB21" s="526"/>
      <c r="DC21" s="526"/>
      <c r="DD21" s="527"/>
      <c r="DE21" s="523"/>
      <c r="DF21" s="524"/>
      <c r="DG21" s="524"/>
      <c r="DH21" s="524"/>
      <c r="DI21" s="558"/>
      <c r="DJ21" s="559"/>
      <c r="DK21" s="559"/>
      <c r="DL21" s="559"/>
      <c r="DM21" s="559"/>
      <c r="DN21" s="559"/>
      <c r="DO21" s="559"/>
      <c r="DP21" s="560"/>
      <c r="DQ21" s="525" t="str">
        <f t="shared" si="5"/>
        <v/>
      </c>
      <c r="DR21" s="526"/>
      <c r="DS21" s="526"/>
      <c r="DT21" s="527"/>
      <c r="DU21" s="523"/>
      <c r="DV21" s="524"/>
      <c r="DW21" s="524"/>
      <c r="DX21" s="524"/>
      <c r="DY21" s="558"/>
      <c r="DZ21" s="559"/>
      <c r="EA21" s="559"/>
      <c r="EB21" s="559"/>
      <c r="EC21" s="559"/>
      <c r="ED21" s="559"/>
      <c r="EE21" s="559"/>
      <c r="EF21" s="559"/>
      <c r="EG21" s="525" t="str">
        <f t="shared" si="6"/>
        <v/>
      </c>
      <c r="EH21" s="526"/>
      <c r="EI21" s="526"/>
      <c r="EJ21" s="527"/>
      <c r="EK21" s="523">
        <f t="shared" si="1"/>
        <v>0</v>
      </c>
      <c r="EL21" s="524"/>
      <c r="EM21" s="524"/>
      <c r="EN21" s="524"/>
      <c r="EO21" s="525" t="str">
        <f t="shared" si="7"/>
        <v/>
      </c>
      <c r="EP21" s="526"/>
      <c r="EQ21" s="526"/>
      <c r="ER21" s="527"/>
    </row>
    <row r="22" spans="1:148" ht="51.95" customHeight="1">
      <c r="A22" s="475"/>
      <c r="B22" s="476"/>
      <c r="C22" s="476"/>
      <c r="D22" s="476"/>
      <c r="E22" s="476"/>
      <c r="F22" s="477"/>
      <c r="G22" s="530" t="s">
        <v>173</v>
      </c>
      <c r="H22" s="531"/>
      <c r="I22" s="531"/>
      <c r="J22" s="531"/>
      <c r="K22" s="531"/>
      <c r="L22" s="531"/>
      <c r="M22" s="531"/>
      <c r="N22" s="531"/>
      <c r="O22" s="531"/>
      <c r="P22" s="531"/>
      <c r="Q22" s="532"/>
      <c r="R22" s="530" t="s">
        <v>174</v>
      </c>
      <c r="S22" s="531"/>
      <c r="T22" s="531"/>
      <c r="U22" s="531"/>
      <c r="V22" s="531"/>
      <c r="W22" s="531"/>
      <c r="X22" s="531"/>
      <c r="Y22" s="531"/>
      <c r="Z22" s="531"/>
      <c r="AA22" s="531"/>
      <c r="AB22" s="531"/>
      <c r="AC22" s="531"/>
      <c r="AD22" s="531"/>
      <c r="AE22" s="531"/>
      <c r="AF22" s="531"/>
      <c r="AG22" s="531"/>
      <c r="AH22" s="531"/>
      <c r="AI22" s="531"/>
      <c r="AJ22" s="531"/>
      <c r="AK22" s="531"/>
      <c r="AL22" s="531"/>
      <c r="AM22" s="531"/>
      <c r="AN22" s="531"/>
      <c r="AO22" s="531"/>
      <c r="AP22" s="531"/>
      <c r="AQ22" s="531"/>
      <c r="AR22" s="531"/>
      <c r="AS22" s="531"/>
      <c r="AT22" s="531"/>
      <c r="AU22" s="531"/>
      <c r="AV22" s="531"/>
      <c r="AW22" s="531"/>
      <c r="AX22" s="531"/>
      <c r="AY22" s="531"/>
      <c r="AZ22" s="531"/>
      <c r="BA22" s="531"/>
      <c r="BB22" s="531"/>
      <c r="BC22" s="531"/>
      <c r="BD22" s="531"/>
      <c r="BE22" s="531"/>
      <c r="BF22" s="531"/>
      <c r="BG22" s="531"/>
      <c r="BH22" s="532"/>
      <c r="BI22" s="484">
        <v>5</v>
      </c>
      <c r="BJ22" s="485"/>
      <c r="BK22" s="485"/>
      <c r="BL22" s="522"/>
      <c r="BM22" s="543"/>
      <c r="BN22" s="544"/>
      <c r="BO22" s="544"/>
      <c r="BP22" s="545"/>
      <c r="BQ22" s="523"/>
      <c r="BR22" s="524"/>
      <c r="BS22" s="524"/>
      <c r="BT22" s="524"/>
      <c r="BU22" s="551"/>
      <c r="BV22" s="552"/>
      <c r="BW22" s="552"/>
      <c r="BX22" s="552"/>
      <c r="BY22" s="552"/>
      <c r="BZ22" s="552"/>
      <c r="CA22" s="552"/>
      <c r="CB22" s="552"/>
      <c r="CC22" s="525" t="str">
        <f t="shared" si="2"/>
        <v/>
      </c>
      <c r="CD22" s="526"/>
      <c r="CE22" s="526"/>
      <c r="CF22" s="527"/>
      <c r="CG22" s="523"/>
      <c r="CH22" s="524"/>
      <c r="CI22" s="524"/>
      <c r="CJ22" s="524"/>
      <c r="CK22" s="558"/>
      <c r="CL22" s="559"/>
      <c r="CM22" s="559"/>
      <c r="CN22" s="559"/>
      <c r="CO22" s="559"/>
      <c r="CP22" s="559"/>
      <c r="CQ22" s="559"/>
      <c r="CR22" s="560"/>
      <c r="CS22" s="525" t="str">
        <f t="shared" si="3"/>
        <v/>
      </c>
      <c r="CT22" s="526"/>
      <c r="CU22" s="526"/>
      <c r="CV22" s="527"/>
      <c r="CW22" s="523">
        <f t="shared" si="0"/>
        <v>0</v>
      </c>
      <c r="CX22" s="524"/>
      <c r="CY22" s="524"/>
      <c r="CZ22" s="524"/>
      <c r="DA22" s="525" t="str">
        <f t="shared" si="4"/>
        <v/>
      </c>
      <c r="DB22" s="526"/>
      <c r="DC22" s="526"/>
      <c r="DD22" s="527"/>
      <c r="DE22" s="523"/>
      <c r="DF22" s="524"/>
      <c r="DG22" s="524"/>
      <c r="DH22" s="524"/>
      <c r="DI22" s="558"/>
      <c r="DJ22" s="559"/>
      <c r="DK22" s="559"/>
      <c r="DL22" s="559"/>
      <c r="DM22" s="559"/>
      <c r="DN22" s="559"/>
      <c r="DO22" s="559"/>
      <c r="DP22" s="560"/>
      <c r="DQ22" s="525" t="str">
        <f t="shared" si="5"/>
        <v/>
      </c>
      <c r="DR22" s="526"/>
      <c r="DS22" s="526"/>
      <c r="DT22" s="527"/>
      <c r="DU22" s="523"/>
      <c r="DV22" s="524"/>
      <c r="DW22" s="524"/>
      <c r="DX22" s="524"/>
      <c r="DY22" s="558"/>
      <c r="DZ22" s="559"/>
      <c r="EA22" s="559"/>
      <c r="EB22" s="559"/>
      <c r="EC22" s="559"/>
      <c r="ED22" s="559"/>
      <c r="EE22" s="559"/>
      <c r="EF22" s="559"/>
      <c r="EG22" s="525" t="str">
        <f t="shared" si="6"/>
        <v/>
      </c>
      <c r="EH22" s="526"/>
      <c r="EI22" s="526"/>
      <c r="EJ22" s="527"/>
      <c r="EK22" s="523">
        <f t="shared" si="1"/>
        <v>0</v>
      </c>
      <c r="EL22" s="524"/>
      <c r="EM22" s="524"/>
      <c r="EN22" s="524"/>
      <c r="EO22" s="525" t="str">
        <f t="shared" si="7"/>
        <v/>
      </c>
      <c r="EP22" s="526"/>
      <c r="EQ22" s="526"/>
      <c r="ER22" s="527"/>
    </row>
    <row r="23" spans="1:148" ht="51.95" customHeight="1">
      <c r="A23" s="475"/>
      <c r="B23" s="476"/>
      <c r="C23" s="476"/>
      <c r="D23" s="476"/>
      <c r="E23" s="476"/>
      <c r="F23" s="477"/>
      <c r="G23" s="530" t="s">
        <v>175</v>
      </c>
      <c r="H23" s="531"/>
      <c r="I23" s="531"/>
      <c r="J23" s="531"/>
      <c r="K23" s="531"/>
      <c r="L23" s="531"/>
      <c r="M23" s="531"/>
      <c r="N23" s="531"/>
      <c r="O23" s="531"/>
      <c r="P23" s="531"/>
      <c r="Q23" s="532"/>
      <c r="R23" s="530" t="s">
        <v>176</v>
      </c>
      <c r="S23" s="531"/>
      <c r="T23" s="531"/>
      <c r="U23" s="531"/>
      <c r="V23" s="531"/>
      <c r="W23" s="531"/>
      <c r="X23" s="531"/>
      <c r="Y23" s="531"/>
      <c r="Z23" s="531"/>
      <c r="AA23" s="531"/>
      <c r="AB23" s="531"/>
      <c r="AC23" s="531"/>
      <c r="AD23" s="531"/>
      <c r="AE23" s="531"/>
      <c r="AF23" s="531"/>
      <c r="AG23" s="531"/>
      <c r="AH23" s="531"/>
      <c r="AI23" s="531"/>
      <c r="AJ23" s="531"/>
      <c r="AK23" s="531"/>
      <c r="AL23" s="531"/>
      <c r="AM23" s="531"/>
      <c r="AN23" s="531"/>
      <c r="AO23" s="531"/>
      <c r="AP23" s="531"/>
      <c r="AQ23" s="531"/>
      <c r="AR23" s="531"/>
      <c r="AS23" s="531"/>
      <c r="AT23" s="531"/>
      <c r="AU23" s="531"/>
      <c r="AV23" s="531"/>
      <c r="AW23" s="531"/>
      <c r="AX23" s="531"/>
      <c r="AY23" s="531"/>
      <c r="AZ23" s="531"/>
      <c r="BA23" s="531"/>
      <c r="BB23" s="531"/>
      <c r="BC23" s="531"/>
      <c r="BD23" s="531"/>
      <c r="BE23" s="531"/>
      <c r="BF23" s="531"/>
      <c r="BG23" s="531"/>
      <c r="BH23" s="532"/>
      <c r="BI23" s="484">
        <v>5</v>
      </c>
      <c r="BJ23" s="485"/>
      <c r="BK23" s="485"/>
      <c r="BL23" s="522"/>
      <c r="BM23" s="543"/>
      <c r="BN23" s="544"/>
      <c r="BO23" s="544"/>
      <c r="BP23" s="545"/>
      <c r="BQ23" s="523"/>
      <c r="BR23" s="524"/>
      <c r="BS23" s="524"/>
      <c r="BT23" s="524"/>
      <c r="BU23" s="551"/>
      <c r="BV23" s="552"/>
      <c r="BW23" s="552"/>
      <c r="BX23" s="552"/>
      <c r="BY23" s="552"/>
      <c r="BZ23" s="552"/>
      <c r="CA23" s="552"/>
      <c r="CB23" s="552"/>
      <c r="CC23" s="525" t="str">
        <f t="shared" si="2"/>
        <v/>
      </c>
      <c r="CD23" s="526"/>
      <c r="CE23" s="526"/>
      <c r="CF23" s="527"/>
      <c r="CG23" s="523"/>
      <c r="CH23" s="524"/>
      <c r="CI23" s="524"/>
      <c r="CJ23" s="524"/>
      <c r="CK23" s="558"/>
      <c r="CL23" s="559"/>
      <c r="CM23" s="559"/>
      <c r="CN23" s="559"/>
      <c r="CO23" s="559"/>
      <c r="CP23" s="559"/>
      <c r="CQ23" s="559"/>
      <c r="CR23" s="560"/>
      <c r="CS23" s="525" t="str">
        <f t="shared" si="3"/>
        <v/>
      </c>
      <c r="CT23" s="526"/>
      <c r="CU23" s="526"/>
      <c r="CV23" s="527"/>
      <c r="CW23" s="523">
        <f t="shared" si="0"/>
        <v>0</v>
      </c>
      <c r="CX23" s="524"/>
      <c r="CY23" s="524"/>
      <c r="CZ23" s="524"/>
      <c r="DA23" s="525" t="str">
        <f t="shared" si="4"/>
        <v/>
      </c>
      <c r="DB23" s="526"/>
      <c r="DC23" s="526"/>
      <c r="DD23" s="527"/>
      <c r="DE23" s="523"/>
      <c r="DF23" s="524"/>
      <c r="DG23" s="524"/>
      <c r="DH23" s="524"/>
      <c r="DI23" s="558"/>
      <c r="DJ23" s="559"/>
      <c r="DK23" s="559"/>
      <c r="DL23" s="559"/>
      <c r="DM23" s="559"/>
      <c r="DN23" s="559"/>
      <c r="DO23" s="559"/>
      <c r="DP23" s="560"/>
      <c r="DQ23" s="525" t="str">
        <f t="shared" si="5"/>
        <v/>
      </c>
      <c r="DR23" s="526"/>
      <c r="DS23" s="526"/>
      <c r="DT23" s="527"/>
      <c r="DU23" s="523"/>
      <c r="DV23" s="524"/>
      <c r="DW23" s="524"/>
      <c r="DX23" s="524"/>
      <c r="DY23" s="558"/>
      <c r="DZ23" s="559"/>
      <c r="EA23" s="559"/>
      <c r="EB23" s="559"/>
      <c r="EC23" s="559"/>
      <c r="ED23" s="559"/>
      <c r="EE23" s="559"/>
      <c r="EF23" s="559"/>
      <c r="EG23" s="525" t="str">
        <f t="shared" si="6"/>
        <v/>
      </c>
      <c r="EH23" s="526"/>
      <c r="EI23" s="526"/>
      <c r="EJ23" s="527"/>
      <c r="EK23" s="523">
        <f t="shared" si="1"/>
        <v>0</v>
      </c>
      <c r="EL23" s="524"/>
      <c r="EM23" s="524"/>
      <c r="EN23" s="524"/>
      <c r="EO23" s="525" t="str">
        <f t="shared" si="7"/>
        <v/>
      </c>
      <c r="EP23" s="526"/>
      <c r="EQ23" s="526"/>
      <c r="ER23" s="527"/>
    </row>
    <row r="24" spans="1:148" ht="51.95" customHeight="1">
      <c r="A24" s="478"/>
      <c r="B24" s="479"/>
      <c r="C24" s="479"/>
      <c r="D24" s="479"/>
      <c r="E24" s="479"/>
      <c r="F24" s="480"/>
      <c r="G24" s="530" t="s">
        <v>177</v>
      </c>
      <c r="H24" s="531"/>
      <c r="I24" s="531"/>
      <c r="J24" s="531"/>
      <c r="K24" s="531"/>
      <c r="L24" s="531"/>
      <c r="M24" s="531"/>
      <c r="N24" s="531"/>
      <c r="O24" s="531"/>
      <c r="P24" s="531"/>
      <c r="Q24" s="532"/>
      <c r="R24" s="530" t="s">
        <v>178</v>
      </c>
      <c r="S24" s="531"/>
      <c r="T24" s="531"/>
      <c r="U24" s="531"/>
      <c r="V24" s="531"/>
      <c r="W24" s="531"/>
      <c r="X24" s="531"/>
      <c r="Y24" s="531"/>
      <c r="Z24" s="531"/>
      <c r="AA24" s="531"/>
      <c r="AB24" s="531"/>
      <c r="AC24" s="531"/>
      <c r="AD24" s="531"/>
      <c r="AE24" s="531"/>
      <c r="AF24" s="531"/>
      <c r="AG24" s="531"/>
      <c r="AH24" s="531"/>
      <c r="AI24" s="531"/>
      <c r="AJ24" s="531"/>
      <c r="AK24" s="531"/>
      <c r="AL24" s="531"/>
      <c r="AM24" s="531"/>
      <c r="AN24" s="531"/>
      <c r="AO24" s="531"/>
      <c r="AP24" s="531"/>
      <c r="AQ24" s="531"/>
      <c r="AR24" s="531"/>
      <c r="AS24" s="531"/>
      <c r="AT24" s="531"/>
      <c r="AU24" s="531"/>
      <c r="AV24" s="531"/>
      <c r="AW24" s="531"/>
      <c r="AX24" s="531"/>
      <c r="AY24" s="531"/>
      <c r="AZ24" s="531"/>
      <c r="BA24" s="531"/>
      <c r="BB24" s="531"/>
      <c r="BC24" s="531"/>
      <c r="BD24" s="531"/>
      <c r="BE24" s="531"/>
      <c r="BF24" s="531"/>
      <c r="BG24" s="531"/>
      <c r="BH24" s="532"/>
      <c r="BI24" s="484">
        <v>5</v>
      </c>
      <c r="BJ24" s="485"/>
      <c r="BK24" s="485"/>
      <c r="BL24" s="522"/>
      <c r="BM24" s="546"/>
      <c r="BN24" s="547"/>
      <c r="BO24" s="547"/>
      <c r="BP24" s="548"/>
      <c r="BQ24" s="523"/>
      <c r="BR24" s="524"/>
      <c r="BS24" s="524"/>
      <c r="BT24" s="524"/>
      <c r="BU24" s="553"/>
      <c r="BV24" s="554"/>
      <c r="BW24" s="554"/>
      <c r="BX24" s="554"/>
      <c r="BY24" s="554"/>
      <c r="BZ24" s="554"/>
      <c r="CA24" s="554"/>
      <c r="CB24" s="554"/>
      <c r="CC24" s="525" t="str">
        <f t="shared" si="2"/>
        <v/>
      </c>
      <c r="CD24" s="526"/>
      <c r="CE24" s="526"/>
      <c r="CF24" s="527"/>
      <c r="CG24" s="523"/>
      <c r="CH24" s="524"/>
      <c r="CI24" s="524"/>
      <c r="CJ24" s="524"/>
      <c r="CK24" s="561"/>
      <c r="CL24" s="562"/>
      <c r="CM24" s="562"/>
      <c r="CN24" s="562"/>
      <c r="CO24" s="562"/>
      <c r="CP24" s="562"/>
      <c r="CQ24" s="562"/>
      <c r="CR24" s="563"/>
      <c r="CS24" s="525" t="str">
        <f t="shared" si="3"/>
        <v/>
      </c>
      <c r="CT24" s="526"/>
      <c r="CU24" s="526"/>
      <c r="CV24" s="527"/>
      <c r="CW24" s="523">
        <f t="shared" si="0"/>
        <v>0</v>
      </c>
      <c r="CX24" s="524"/>
      <c r="CY24" s="524"/>
      <c r="CZ24" s="524"/>
      <c r="DA24" s="525" t="str">
        <f t="shared" si="4"/>
        <v/>
      </c>
      <c r="DB24" s="526"/>
      <c r="DC24" s="526"/>
      <c r="DD24" s="527"/>
      <c r="DE24" s="523"/>
      <c r="DF24" s="524"/>
      <c r="DG24" s="524"/>
      <c r="DH24" s="524"/>
      <c r="DI24" s="561"/>
      <c r="DJ24" s="562"/>
      <c r="DK24" s="562"/>
      <c r="DL24" s="562"/>
      <c r="DM24" s="562"/>
      <c r="DN24" s="562"/>
      <c r="DO24" s="562"/>
      <c r="DP24" s="563"/>
      <c r="DQ24" s="525" t="str">
        <f t="shared" si="5"/>
        <v/>
      </c>
      <c r="DR24" s="526"/>
      <c r="DS24" s="526"/>
      <c r="DT24" s="527"/>
      <c r="DU24" s="523"/>
      <c r="DV24" s="524"/>
      <c r="DW24" s="524"/>
      <c r="DX24" s="524"/>
      <c r="DY24" s="561"/>
      <c r="DZ24" s="562"/>
      <c r="EA24" s="562"/>
      <c r="EB24" s="562"/>
      <c r="EC24" s="562"/>
      <c r="ED24" s="562"/>
      <c r="EE24" s="562"/>
      <c r="EF24" s="562"/>
      <c r="EG24" s="525" t="str">
        <f t="shared" si="6"/>
        <v/>
      </c>
      <c r="EH24" s="526"/>
      <c r="EI24" s="526"/>
      <c r="EJ24" s="527"/>
      <c r="EK24" s="523">
        <f t="shared" si="1"/>
        <v>0</v>
      </c>
      <c r="EL24" s="524"/>
      <c r="EM24" s="524"/>
      <c r="EN24" s="524"/>
      <c r="EO24" s="525" t="str">
        <f t="shared" si="7"/>
        <v/>
      </c>
      <c r="EP24" s="526"/>
      <c r="EQ24" s="526"/>
      <c r="ER24" s="527"/>
    </row>
    <row r="25" spans="1:148" ht="12.75" thickBot="1">
      <c r="A25" s="40" t="s">
        <v>149</v>
      </c>
      <c r="BG25" s="572"/>
      <c r="BH25" s="573"/>
      <c r="BI25" s="574" t="s">
        <v>92</v>
      </c>
      <c r="BJ25" s="575"/>
      <c r="BK25" s="575"/>
      <c r="BL25" s="576"/>
      <c r="BM25" s="574">
        <f>BM20+BM14</f>
        <v>100</v>
      </c>
      <c r="BN25" s="575"/>
      <c r="BO25" s="575"/>
      <c r="BP25" s="576"/>
      <c r="BQ25" s="40">
        <v>4</v>
      </c>
      <c r="BR25" s="40" t="s">
        <v>150</v>
      </c>
      <c r="CC25" s="564" t="str">
        <f>IF(INT(SUM(CC14:CC24)/5)=0,"",INT(SUM(CC14:CC24)/5))</f>
        <v/>
      </c>
      <c r="CD25" s="565"/>
      <c r="CE25" s="565"/>
      <c r="CF25" s="566"/>
      <c r="CH25" s="40" t="s">
        <v>151</v>
      </c>
      <c r="CS25" s="564" t="str">
        <f>IF(INT(SUM(CS14:CS24)/5)=0,"",INT(SUM(CS14:CS24)/5))</f>
        <v/>
      </c>
      <c r="CT25" s="565"/>
      <c r="CU25" s="565"/>
      <c r="CV25" s="566"/>
      <c r="CX25" s="40" t="s">
        <v>152</v>
      </c>
      <c r="DA25" s="564" t="str">
        <f>IF(INT(SUM(DA14:DA24)/5)=0,"",INT(SUM(DA14:DA24)/5))</f>
        <v/>
      </c>
      <c r="DB25" s="565"/>
      <c r="DC25" s="565"/>
      <c r="DD25" s="566"/>
      <c r="DF25" s="40" t="s">
        <v>150</v>
      </c>
      <c r="DQ25" s="564" t="str">
        <f>IF(INT(SUM(DQ14:DQ24)/5)=0,"",INT(SUM(DQ14:DQ24)/5))</f>
        <v/>
      </c>
      <c r="DR25" s="565"/>
      <c r="DS25" s="565"/>
      <c r="DT25" s="566"/>
      <c r="DV25" s="40" t="s">
        <v>151</v>
      </c>
      <c r="EG25" s="564" t="str">
        <f>IF(INT(SUM(EG14:EG24)/5)=0,"",INT(SUM(EG14:EG24)/5))</f>
        <v/>
      </c>
      <c r="EH25" s="565"/>
      <c r="EI25" s="565"/>
      <c r="EJ25" s="566"/>
      <c r="EL25" s="40" t="s">
        <v>152</v>
      </c>
      <c r="EO25" s="564" t="str">
        <f>IF(INT(SUM(EO14:EO24)/5)=0,"",INT(SUM(EO14:EO24)/5))</f>
        <v/>
      </c>
      <c r="EP25" s="565"/>
      <c r="EQ25" s="565"/>
      <c r="ER25" s="566"/>
    </row>
    <row r="26" spans="1:148" ht="12.75" thickTop="1">
      <c r="A26" s="523" t="s">
        <v>94</v>
      </c>
      <c r="B26" s="567"/>
      <c r="C26" s="567"/>
      <c r="D26" s="567"/>
      <c r="E26" s="567"/>
      <c r="F26" s="567"/>
      <c r="G26" s="567"/>
      <c r="H26" s="567"/>
      <c r="I26" s="567"/>
      <c r="J26" s="567"/>
      <c r="K26" s="567"/>
      <c r="L26" s="567"/>
      <c r="M26" s="567"/>
      <c r="N26" s="567"/>
      <c r="O26" s="567"/>
      <c r="P26" s="567"/>
      <c r="Q26" s="567"/>
      <c r="R26" s="567"/>
      <c r="S26" s="567"/>
      <c r="T26" s="567"/>
      <c r="U26" s="567"/>
      <c r="V26" s="567"/>
      <c r="W26" s="567"/>
      <c r="X26" s="567"/>
      <c r="Y26" s="567"/>
      <c r="Z26" s="567"/>
      <c r="AA26" s="567"/>
      <c r="AB26" s="568"/>
      <c r="AC26" s="523" t="s">
        <v>95</v>
      </c>
      <c r="AD26" s="567"/>
      <c r="AE26" s="567"/>
      <c r="AF26" s="567"/>
      <c r="AG26" s="567"/>
      <c r="AH26" s="567"/>
      <c r="AI26" s="567"/>
      <c r="AJ26" s="567"/>
      <c r="AK26" s="567"/>
      <c r="AL26" s="567"/>
      <c r="AM26" s="567"/>
      <c r="AN26" s="567"/>
      <c r="AO26" s="567"/>
      <c r="AP26" s="567"/>
      <c r="AQ26" s="567"/>
      <c r="AR26" s="567"/>
      <c r="AS26" s="567"/>
      <c r="AT26" s="567"/>
      <c r="AU26" s="567"/>
      <c r="AV26" s="567"/>
      <c r="AW26" s="567"/>
      <c r="AX26" s="567"/>
      <c r="AY26" s="567"/>
      <c r="AZ26" s="567"/>
      <c r="BA26" s="567"/>
      <c r="BB26" s="567"/>
      <c r="BC26" s="567"/>
      <c r="BD26" s="567"/>
      <c r="BE26" s="567"/>
      <c r="BF26" s="568"/>
      <c r="BG26" s="96"/>
      <c r="BH26" s="96"/>
    </row>
    <row r="27" spans="1:148" ht="12.75" thickBot="1">
      <c r="A27" s="569" t="s">
        <v>96</v>
      </c>
      <c r="B27" s="569"/>
      <c r="C27" s="569"/>
      <c r="D27" s="569"/>
      <c r="E27" s="569"/>
      <c r="F27" s="569"/>
      <c r="G27" s="569"/>
      <c r="H27" s="569"/>
      <c r="I27" s="569"/>
      <c r="J27" s="569"/>
      <c r="K27" s="569"/>
      <c r="L27" s="569"/>
      <c r="M27" s="569"/>
      <c r="N27" s="570" t="s">
        <v>153</v>
      </c>
      <c r="O27" s="570"/>
      <c r="P27" s="570"/>
      <c r="Q27" s="570"/>
      <c r="R27" s="570"/>
      <c r="S27" s="570"/>
      <c r="T27" s="570"/>
      <c r="U27" s="570"/>
      <c r="V27" s="570"/>
      <c r="W27" s="570"/>
      <c r="X27" s="570"/>
      <c r="Y27" s="570"/>
      <c r="Z27" s="570"/>
      <c r="AA27" s="570"/>
      <c r="AB27" s="571"/>
      <c r="AC27" s="569" t="s">
        <v>96</v>
      </c>
      <c r="AD27" s="569"/>
      <c r="AE27" s="569"/>
      <c r="AF27" s="569"/>
      <c r="AG27" s="569"/>
      <c r="AH27" s="569"/>
      <c r="AI27" s="569"/>
      <c r="AJ27" s="569"/>
      <c r="AK27" s="569"/>
      <c r="AL27" s="569"/>
      <c r="AM27" s="569"/>
      <c r="AN27" s="569"/>
      <c r="AO27" s="569"/>
      <c r="AP27" s="569"/>
      <c r="AQ27" s="569"/>
      <c r="AR27" s="570" t="s">
        <v>153</v>
      </c>
      <c r="AS27" s="570"/>
      <c r="AT27" s="570"/>
      <c r="AU27" s="570"/>
      <c r="AV27" s="570"/>
      <c r="AW27" s="570"/>
      <c r="AX27" s="570"/>
      <c r="AY27" s="570"/>
      <c r="AZ27" s="570"/>
      <c r="BA27" s="570"/>
      <c r="BB27" s="570"/>
      <c r="BC27" s="570"/>
      <c r="BD27" s="570"/>
      <c r="BE27" s="570"/>
      <c r="BF27" s="571"/>
      <c r="BG27" s="96"/>
      <c r="BH27" s="96"/>
    </row>
    <row r="28" spans="1:148" ht="13.5" customHeight="1">
      <c r="A28" s="577"/>
      <c r="B28" s="577"/>
      <c r="C28" s="577"/>
      <c r="D28" s="577"/>
      <c r="E28" s="577"/>
      <c r="F28" s="577"/>
      <c r="G28" s="577"/>
      <c r="H28" s="577"/>
      <c r="I28" s="577"/>
      <c r="J28" s="577"/>
      <c r="K28" s="577"/>
      <c r="L28" s="577"/>
      <c r="M28" s="577"/>
      <c r="N28" s="578"/>
      <c r="O28" s="578"/>
      <c r="P28" s="578"/>
      <c r="Q28" s="578"/>
      <c r="R28" s="578"/>
      <c r="S28" s="578"/>
      <c r="T28" s="578"/>
      <c r="U28" s="578"/>
      <c r="V28" s="578"/>
      <c r="W28" s="578"/>
      <c r="X28" s="578"/>
      <c r="Y28" s="578"/>
      <c r="Z28" s="578"/>
      <c r="AA28" s="578"/>
      <c r="AB28" s="579"/>
      <c r="AC28" s="577"/>
      <c r="AD28" s="577"/>
      <c r="AE28" s="577"/>
      <c r="AF28" s="577"/>
      <c r="AG28" s="577"/>
      <c r="AH28" s="577"/>
      <c r="AI28" s="577"/>
      <c r="AJ28" s="577"/>
      <c r="AK28" s="577"/>
      <c r="AL28" s="577"/>
      <c r="AM28" s="577"/>
      <c r="AN28" s="577"/>
      <c r="AO28" s="577"/>
      <c r="AP28" s="577"/>
      <c r="AQ28" s="577"/>
      <c r="AR28" s="578"/>
      <c r="AS28" s="578"/>
      <c r="AT28" s="578"/>
      <c r="AU28" s="578"/>
      <c r="AV28" s="578"/>
      <c r="AW28" s="578"/>
      <c r="AX28" s="578"/>
      <c r="AY28" s="578"/>
      <c r="AZ28" s="578"/>
      <c r="BA28" s="578"/>
      <c r="BB28" s="578"/>
      <c r="BC28" s="578"/>
      <c r="BD28" s="578"/>
      <c r="BE28" s="578"/>
      <c r="BF28" s="579"/>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92" t="s">
        <v>154</v>
      </c>
      <c r="DJ28" s="192"/>
      <c r="DK28" s="192"/>
      <c r="DL28" s="192"/>
      <c r="DM28" s="192"/>
      <c r="DN28" s="192"/>
      <c r="DO28" s="192"/>
      <c r="DP28" s="192"/>
      <c r="DQ28" s="192" t="s">
        <v>155</v>
      </c>
      <c r="DR28" s="192"/>
      <c r="DS28" s="192"/>
      <c r="DT28" s="192"/>
      <c r="DU28" s="192"/>
      <c r="DV28" s="192"/>
      <c r="DW28" s="192"/>
      <c r="DX28" s="523"/>
      <c r="DY28" s="595" t="s">
        <v>156</v>
      </c>
      <c r="DZ28" s="596"/>
      <c r="EA28" s="596"/>
      <c r="EB28" s="596"/>
      <c r="EC28" s="596"/>
      <c r="ED28" s="596"/>
      <c r="EE28" s="596"/>
      <c r="EF28" s="597"/>
      <c r="EG28" s="96"/>
      <c r="EH28" s="96"/>
      <c r="EI28" s="173"/>
      <c r="EJ28" s="173"/>
      <c r="EK28" s="173"/>
      <c r="EL28" s="173"/>
      <c r="EM28" s="173"/>
      <c r="EN28" s="173"/>
      <c r="EO28" s="173"/>
      <c r="EP28" s="173"/>
      <c r="EQ28" s="173"/>
      <c r="ER28" s="173"/>
    </row>
    <row r="29" spans="1:148" ht="12" customHeight="1">
      <c r="A29" s="577"/>
      <c r="B29" s="577"/>
      <c r="C29" s="577"/>
      <c r="D29" s="577"/>
      <c r="E29" s="577"/>
      <c r="F29" s="577"/>
      <c r="G29" s="577"/>
      <c r="H29" s="577"/>
      <c r="I29" s="577"/>
      <c r="J29" s="577"/>
      <c r="K29" s="577"/>
      <c r="L29" s="577"/>
      <c r="M29" s="577"/>
      <c r="N29" s="580"/>
      <c r="O29" s="580"/>
      <c r="P29" s="580"/>
      <c r="Q29" s="580"/>
      <c r="R29" s="580"/>
      <c r="S29" s="580"/>
      <c r="T29" s="580"/>
      <c r="U29" s="580"/>
      <c r="V29" s="580"/>
      <c r="W29" s="580"/>
      <c r="X29" s="580"/>
      <c r="Y29" s="580"/>
      <c r="Z29" s="580"/>
      <c r="AA29" s="580"/>
      <c r="AB29" s="581"/>
      <c r="AC29" s="577"/>
      <c r="AD29" s="577"/>
      <c r="AE29" s="577"/>
      <c r="AF29" s="577"/>
      <c r="AG29" s="577"/>
      <c r="AH29" s="577"/>
      <c r="AI29" s="577"/>
      <c r="AJ29" s="577"/>
      <c r="AK29" s="577"/>
      <c r="AL29" s="577"/>
      <c r="AM29" s="577"/>
      <c r="AN29" s="577"/>
      <c r="AO29" s="577"/>
      <c r="AP29" s="577"/>
      <c r="AQ29" s="577"/>
      <c r="AR29" s="580"/>
      <c r="AS29" s="580"/>
      <c r="AT29" s="580"/>
      <c r="AU29" s="580"/>
      <c r="AV29" s="580"/>
      <c r="AW29" s="580"/>
      <c r="AX29" s="580"/>
      <c r="AY29" s="580"/>
      <c r="AZ29" s="580"/>
      <c r="BA29" s="580"/>
      <c r="BB29" s="580"/>
      <c r="BC29" s="580"/>
      <c r="BD29" s="580"/>
      <c r="BE29" s="580"/>
      <c r="BF29" s="581"/>
      <c r="BR29" s="61" t="s">
        <v>157</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247" t="s">
        <v>158</v>
      </c>
      <c r="DJ29" s="253"/>
      <c r="DK29" s="253"/>
      <c r="DL29" s="253"/>
      <c r="DM29" s="253"/>
      <c r="DN29" s="253"/>
      <c r="DO29" s="253"/>
      <c r="DP29" s="248"/>
      <c r="DQ29" s="598" t="str">
        <f>CS25</f>
        <v/>
      </c>
      <c r="DR29" s="599"/>
      <c r="DS29" s="599"/>
      <c r="DT29" s="599"/>
      <c r="DU29" s="599"/>
      <c r="DV29" s="599"/>
      <c r="DW29" s="599"/>
      <c r="DX29" s="599"/>
      <c r="DY29" s="604" t="str">
        <f>DA25</f>
        <v/>
      </c>
      <c r="DZ29" s="605"/>
      <c r="EA29" s="605"/>
      <c r="EB29" s="605"/>
      <c r="EC29" s="605"/>
      <c r="ED29" s="605"/>
      <c r="EE29" s="605"/>
      <c r="EF29" s="606"/>
      <c r="EG29" s="140"/>
      <c r="EH29" s="140"/>
      <c r="EI29" s="174"/>
      <c r="EJ29" s="174"/>
      <c r="EK29" s="174"/>
      <c r="EL29" s="174"/>
      <c r="EM29" s="174"/>
      <c r="EN29" s="174"/>
      <c r="EO29" s="174"/>
      <c r="EP29" s="174"/>
      <c r="EQ29" s="174"/>
      <c r="ER29" s="174"/>
    </row>
    <row r="30" spans="1:148" ht="12" customHeight="1">
      <c r="A30" s="577"/>
      <c r="B30" s="577"/>
      <c r="C30" s="577"/>
      <c r="D30" s="577"/>
      <c r="E30" s="577"/>
      <c r="F30" s="577"/>
      <c r="G30" s="577"/>
      <c r="H30" s="577"/>
      <c r="I30" s="577"/>
      <c r="J30" s="577"/>
      <c r="K30" s="577"/>
      <c r="L30" s="577"/>
      <c r="M30" s="577"/>
      <c r="N30" s="580"/>
      <c r="O30" s="580"/>
      <c r="P30" s="580"/>
      <c r="Q30" s="580"/>
      <c r="R30" s="580"/>
      <c r="S30" s="580"/>
      <c r="T30" s="580"/>
      <c r="U30" s="580"/>
      <c r="V30" s="580"/>
      <c r="W30" s="580"/>
      <c r="X30" s="580"/>
      <c r="Y30" s="580"/>
      <c r="Z30" s="580"/>
      <c r="AA30" s="580"/>
      <c r="AB30" s="581"/>
      <c r="AC30" s="577"/>
      <c r="AD30" s="577"/>
      <c r="AE30" s="577"/>
      <c r="AF30" s="577"/>
      <c r="AG30" s="577"/>
      <c r="AH30" s="577"/>
      <c r="AI30" s="577"/>
      <c r="AJ30" s="577"/>
      <c r="AK30" s="577"/>
      <c r="AL30" s="577"/>
      <c r="AM30" s="577"/>
      <c r="AN30" s="577"/>
      <c r="AO30" s="577"/>
      <c r="AP30" s="577"/>
      <c r="AQ30" s="577"/>
      <c r="AR30" s="580"/>
      <c r="AS30" s="580"/>
      <c r="AT30" s="580"/>
      <c r="AU30" s="580"/>
      <c r="AV30" s="580"/>
      <c r="AW30" s="580"/>
      <c r="AX30" s="580"/>
      <c r="AY30" s="580"/>
      <c r="AZ30" s="580"/>
      <c r="BA30" s="580"/>
      <c r="BB30" s="580"/>
      <c r="BC30" s="580"/>
      <c r="BD30" s="580"/>
      <c r="BE30" s="580"/>
      <c r="BF30" s="581"/>
      <c r="BR30" s="61"/>
      <c r="BS30" s="40" t="s">
        <v>159</v>
      </c>
      <c r="CH30" s="64"/>
      <c r="CW30" s="14"/>
      <c r="CX30" s="14"/>
      <c r="CY30" s="14"/>
      <c r="CZ30" s="14"/>
      <c r="DA30" s="14"/>
      <c r="DB30" s="14"/>
      <c r="DC30" s="14"/>
      <c r="DD30" s="14"/>
      <c r="DE30" s="139"/>
      <c r="DF30" s="139"/>
      <c r="DG30" s="139"/>
      <c r="DH30" s="139"/>
      <c r="DI30" s="249"/>
      <c r="DJ30" s="254"/>
      <c r="DK30" s="254"/>
      <c r="DL30" s="254"/>
      <c r="DM30" s="254"/>
      <c r="DN30" s="254"/>
      <c r="DO30" s="254"/>
      <c r="DP30" s="250"/>
      <c r="DQ30" s="600"/>
      <c r="DR30" s="601"/>
      <c r="DS30" s="601"/>
      <c r="DT30" s="601"/>
      <c r="DU30" s="601"/>
      <c r="DV30" s="601"/>
      <c r="DW30" s="601"/>
      <c r="DX30" s="601"/>
      <c r="DY30" s="607"/>
      <c r="DZ30" s="608"/>
      <c r="EA30" s="608"/>
      <c r="EB30" s="608"/>
      <c r="EC30" s="608"/>
      <c r="ED30" s="608"/>
      <c r="EE30" s="608"/>
      <c r="EF30" s="609"/>
      <c r="EG30" s="140"/>
      <c r="EH30" s="140"/>
      <c r="EI30" s="175"/>
      <c r="EJ30" s="174"/>
      <c r="EK30" s="174"/>
      <c r="EL30" s="174"/>
      <c r="EM30" s="174"/>
      <c r="EN30" s="174"/>
      <c r="EO30" s="174"/>
      <c r="EP30" s="174"/>
      <c r="EQ30" s="174"/>
      <c r="ER30" s="174"/>
    </row>
    <row r="31" spans="1:148" ht="12.75" customHeight="1" thickBot="1">
      <c r="A31" s="577"/>
      <c r="B31" s="577"/>
      <c r="C31" s="577"/>
      <c r="D31" s="577"/>
      <c r="E31" s="577"/>
      <c r="F31" s="577"/>
      <c r="G31" s="577"/>
      <c r="H31" s="577"/>
      <c r="I31" s="577"/>
      <c r="J31" s="577"/>
      <c r="K31" s="577"/>
      <c r="L31" s="577"/>
      <c r="M31" s="577"/>
      <c r="N31" s="580"/>
      <c r="O31" s="580"/>
      <c r="P31" s="580"/>
      <c r="Q31" s="580"/>
      <c r="R31" s="580"/>
      <c r="S31" s="580"/>
      <c r="T31" s="580"/>
      <c r="U31" s="580"/>
      <c r="V31" s="580"/>
      <c r="W31" s="580"/>
      <c r="X31" s="580"/>
      <c r="Y31" s="580"/>
      <c r="Z31" s="580"/>
      <c r="AA31" s="580"/>
      <c r="AB31" s="581"/>
      <c r="AC31" s="577"/>
      <c r="AD31" s="577"/>
      <c r="AE31" s="577"/>
      <c r="AF31" s="577"/>
      <c r="AG31" s="577"/>
      <c r="AH31" s="577"/>
      <c r="AI31" s="577"/>
      <c r="AJ31" s="577"/>
      <c r="AK31" s="577"/>
      <c r="AL31" s="577"/>
      <c r="AM31" s="577"/>
      <c r="AN31" s="577"/>
      <c r="AO31" s="577"/>
      <c r="AP31" s="577"/>
      <c r="AQ31" s="577"/>
      <c r="AR31" s="580"/>
      <c r="AS31" s="580"/>
      <c r="AT31" s="580"/>
      <c r="AU31" s="580"/>
      <c r="AV31" s="580"/>
      <c r="AW31" s="580"/>
      <c r="AX31" s="580"/>
      <c r="AY31" s="580"/>
      <c r="AZ31" s="580"/>
      <c r="BA31" s="580"/>
      <c r="BB31" s="580"/>
      <c r="BC31" s="580"/>
      <c r="BD31" s="580"/>
      <c r="BE31" s="580"/>
      <c r="BF31" s="581"/>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251"/>
      <c r="DJ31" s="255"/>
      <c r="DK31" s="255"/>
      <c r="DL31" s="255"/>
      <c r="DM31" s="255"/>
      <c r="DN31" s="255"/>
      <c r="DO31" s="255"/>
      <c r="DP31" s="252"/>
      <c r="DQ31" s="602"/>
      <c r="DR31" s="603"/>
      <c r="DS31" s="603"/>
      <c r="DT31" s="603"/>
      <c r="DU31" s="603"/>
      <c r="DV31" s="603"/>
      <c r="DW31" s="603"/>
      <c r="DX31" s="603"/>
      <c r="DY31" s="607"/>
      <c r="DZ31" s="608"/>
      <c r="EA31" s="608"/>
      <c r="EB31" s="608"/>
      <c r="EC31" s="608"/>
      <c r="ED31" s="608"/>
      <c r="EE31" s="608"/>
      <c r="EF31" s="609"/>
      <c r="EG31" s="140"/>
      <c r="EH31" s="140"/>
      <c r="EI31" s="175"/>
      <c r="EJ31" s="174"/>
      <c r="EK31" s="174"/>
      <c r="EL31" s="174"/>
      <c r="EM31" s="174"/>
      <c r="EN31" s="174"/>
      <c r="EO31" s="174"/>
      <c r="EP31" s="174"/>
      <c r="EQ31" s="174"/>
      <c r="ER31" s="174"/>
    </row>
    <row r="32" spans="1:148" ht="12" customHeight="1">
      <c r="A32" s="577"/>
      <c r="B32" s="577"/>
      <c r="C32" s="577"/>
      <c r="D32" s="577"/>
      <c r="E32" s="577"/>
      <c r="F32" s="577"/>
      <c r="G32" s="577"/>
      <c r="H32" s="577"/>
      <c r="I32" s="577"/>
      <c r="J32" s="577"/>
      <c r="K32" s="577"/>
      <c r="L32" s="577"/>
      <c r="M32" s="577"/>
      <c r="N32" s="580"/>
      <c r="O32" s="580"/>
      <c r="P32" s="580"/>
      <c r="Q32" s="580"/>
      <c r="R32" s="580"/>
      <c r="S32" s="580"/>
      <c r="T32" s="580"/>
      <c r="U32" s="580"/>
      <c r="V32" s="580"/>
      <c r="W32" s="580"/>
      <c r="X32" s="580"/>
      <c r="Y32" s="580"/>
      <c r="Z32" s="580"/>
      <c r="AA32" s="580"/>
      <c r="AB32" s="581"/>
      <c r="AC32" s="577"/>
      <c r="AD32" s="577"/>
      <c r="AE32" s="577"/>
      <c r="AF32" s="577"/>
      <c r="AG32" s="577"/>
      <c r="AH32" s="577"/>
      <c r="AI32" s="577"/>
      <c r="AJ32" s="577"/>
      <c r="AK32" s="577"/>
      <c r="AL32" s="577"/>
      <c r="AM32" s="577"/>
      <c r="AN32" s="577"/>
      <c r="AO32" s="577"/>
      <c r="AP32" s="577"/>
      <c r="AQ32" s="577"/>
      <c r="AR32" s="580"/>
      <c r="AS32" s="580"/>
      <c r="AT32" s="580"/>
      <c r="AU32" s="580"/>
      <c r="AV32" s="580"/>
      <c r="AW32" s="580"/>
      <c r="AX32" s="580"/>
      <c r="AY32" s="580"/>
      <c r="AZ32" s="580"/>
      <c r="BA32" s="580"/>
      <c r="BB32" s="580"/>
      <c r="BC32" s="580"/>
      <c r="BD32" s="580"/>
      <c r="BE32" s="580"/>
      <c r="BF32" s="581"/>
      <c r="CW32" s="14"/>
      <c r="CX32" s="14"/>
      <c r="CY32" s="14"/>
      <c r="CZ32" s="14"/>
      <c r="DA32" s="14"/>
      <c r="DB32" s="14"/>
      <c r="DC32" s="14"/>
      <c r="DD32" s="14"/>
      <c r="DE32" s="139"/>
      <c r="DF32" s="139"/>
      <c r="DG32" s="139"/>
      <c r="DH32" s="139"/>
      <c r="DI32" s="247" t="s">
        <v>160</v>
      </c>
      <c r="DJ32" s="253"/>
      <c r="DK32" s="253"/>
      <c r="DL32" s="253"/>
      <c r="DM32" s="253"/>
      <c r="DN32" s="253"/>
      <c r="DO32" s="253"/>
      <c r="DP32" s="248"/>
      <c r="DQ32" s="593" t="str">
        <f>EG25</f>
        <v/>
      </c>
      <c r="DR32" s="593"/>
      <c r="DS32" s="593"/>
      <c r="DT32" s="593"/>
      <c r="DU32" s="593"/>
      <c r="DV32" s="593"/>
      <c r="DW32" s="593"/>
      <c r="DX32" s="594"/>
      <c r="DY32" s="584" t="str">
        <f>EO25</f>
        <v/>
      </c>
      <c r="DZ32" s="585"/>
      <c r="EA32" s="585"/>
      <c r="EB32" s="585"/>
      <c r="EC32" s="585"/>
      <c r="ED32" s="585"/>
      <c r="EE32" s="585"/>
      <c r="EF32" s="586"/>
      <c r="EG32" s="140"/>
      <c r="EH32" s="140"/>
      <c r="EI32" s="174"/>
      <c r="EJ32" s="174"/>
      <c r="EK32" s="174"/>
      <c r="EL32" s="174"/>
      <c r="EM32" s="174"/>
      <c r="EN32" s="174"/>
      <c r="EO32" s="174"/>
      <c r="EP32" s="174"/>
      <c r="EQ32" s="174"/>
      <c r="ER32" s="174"/>
    </row>
    <row r="33" spans="1:148" ht="12" customHeight="1">
      <c r="A33" s="577"/>
      <c r="B33" s="577"/>
      <c r="C33" s="577"/>
      <c r="D33" s="577"/>
      <c r="E33" s="577"/>
      <c r="F33" s="577"/>
      <c r="G33" s="577"/>
      <c r="H33" s="577"/>
      <c r="I33" s="577"/>
      <c r="J33" s="577"/>
      <c r="K33" s="577"/>
      <c r="L33" s="577"/>
      <c r="M33" s="577"/>
      <c r="N33" s="580"/>
      <c r="O33" s="580"/>
      <c r="P33" s="580"/>
      <c r="Q33" s="580"/>
      <c r="R33" s="580"/>
      <c r="S33" s="580"/>
      <c r="T33" s="580"/>
      <c r="U33" s="580"/>
      <c r="V33" s="580"/>
      <c r="W33" s="580"/>
      <c r="X33" s="580"/>
      <c r="Y33" s="580"/>
      <c r="Z33" s="580"/>
      <c r="AA33" s="580"/>
      <c r="AB33" s="581"/>
      <c r="AC33" s="577"/>
      <c r="AD33" s="577"/>
      <c r="AE33" s="577"/>
      <c r="AF33" s="577"/>
      <c r="AG33" s="577"/>
      <c r="AH33" s="577"/>
      <c r="AI33" s="577"/>
      <c r="AJ33" s="577"/>
      <c r="AK33" s="577"/>
      <c r="AL33" s="577"/>
      <c r="AM33" s="577"/>
      <c r="AN33" s="577"/>
      <c r="AO33" s="577"/>
      <c r="AP33" s="577"/>
      <c r="AQ33" s="577"/>
      <c r="AR33" s="580"/>
      <c r="AS33" s="580"/>
      <c r="AT33" s="580"/>
      <c r="AU33" s="580"/>
      <c r="AV33" s="580"/>
      <c r="AW33" s="580"/>
      <c r="AX33" s="580"/>
      <c r="AY33" s="580"/>
      <c r="AZ33" s="580"/>
      <c r="BA33" s="580"/>
      <c r="BB33" s="580"/>
      <c r="BC33" s="580"/>
      <c r="BD33" s="580"/>
      <c r="BE33" s="580"/>
      <c r="BF33" s="581"/>
      <c r="CW33" s="14"/>
      <c r="CX33" s="14"/>
      <c r="CY33" s="14"/>
      <c r="CZ33" s="14"/>
      <c r="DA33" s="14"/>
      <c r="DB33" s="14"/>
      <c r="DC33" s="14"/>
      <c r="DD33" s="14"/>
      <c r="DE33" s="139"/>
      <c r="DF33" s="139"/>
      <c r="DG33" s="139"/>
      <c r="DH33" s="139"/>
      <c r="DI33" s="249"/>
      <c r="DJ33" s="254"/>
      <c r="DK33" s="254"/>
      <c r="DL33" s="254"/>
      <c r="DM33" s="254"/>
      <c r="DN33" s="254"/>
      <c r="DO33" s="254"/>
      <c r="DP33" s="250"/>
      <c r="DQ33" s="593"/>
      <c r="DR33" s="593"/>
      <c r="DS33" s="593"/>
      <c r="DT33" s="593"/>
      <c r="DU33" s="593"/>
      <c r="DV33" s="593"/>
      <c r="DW33" s="593"/>
      <c r="DX33" s="594"/>
      <c r="DY33" s="587"/>
      <c r="DZ33" s="588"/>
      <c r="EA33" s="588"/>
      <c r="EB33" s="588"/>
      <c r="EC33" s="588"/>
      <c r="ED33" s="588"/>
      <c r="EE33" s="588"/>
      <c r="EF33" s="589"/>
      <c r="EG33" s="140"/>
      <c r="EH33" s="140"/>
      <c r="EI33" s="174"/>
      <c r="EJ33" s="174"/>
      <c r="EK33" s="174"/>
      <c r="EL33" s="174"/>
      <c r="EM33" s="174"/>
      <c r="EN33" s="174"/>
      <c r="EO33" s="174"/>
      <c r="EP33" s="174"/>
      <c r="EQ33" s="174"/>
      <c r="ER33" s="174"/>
    </row>
    <row r="34" spans="1:148" ht="12.75" customHeight="1" thickBot="1">
      <c r="A34" s="577"/>
      <c r="B34" s="577"/>
      <c r="C34" s="577"/>
      <c r="D34" s="577"/>
      <c r="E34" s="577"/>
      <c r="F34" s="577"/>
      <c r="G34" s="577"/>
      <c r="H34" s="577"/>
      <c r="I34" s="577"/>
      <c r="J34" s="577"/>
      <c r="K34" s="577"/>
      <c r="L34" s="577"/>
      <c r="M34" s="577"/>
      <c r="N34" s="582"/>
      <c r="O34" s="582"/>
      <c r="P34" s="582"/>
      <c r="Q34" s="582"/>
      <c r="R34" s="582"/>
      <c r="S34" s="582"/>
      <c r="T34" s="582"/>
      <c r="U34" s="582"/>
      <c r="V34" s="582"/>
      <c r="W34" s="582"/>
      <c r="X34" s="582"/>
      <c r="Y34" s="582"/>
      <c r="Z34" s="582"/>
      <c r="AA34" s="582"/>
      <c r="AB34" s="583"/>
      <c r="AC34" s="577"/>
      <c r="AD34" s="577"/>
      <c r="AE34" s="577"/>
      <c r="AF34" s="577"/>
      <c r="AG34" s="577"/>
      <c r="AH34" s="577"/>
      <c r="AI34" s="577"/>
      <c r="AJ34" s="577"/>
      <c r="AK34" s="577"/>
      <c r="AL34" s="577"/>
      <c r="AM34" s="577"/>
      <c r="AN34" s="577"/>
      <c r="AO34" s="577"/>
      <c r="AP34" s="577"/>
      <c r="AQ34" s="577"/>
      <c r="AR34" s="582"/>
      <c r="AS34" s="582"/>
      <c r="AT34" s="582"/>
      <c r="AU34" s="582"/>
      <c r="AV34" s="582"/>
      <c r="AW34" s="582"/>
      <c r="AX34" s="582"/>
      <c r="AY34" s="582"/>
      <c r="AZ34" s="582"/>
      <c r="BA34" s="582"/>
      <c r="BB34" s="582"/>
      <c r="BC34" s="582"/>
      <c r="BD34" s="582"/>
      <c r="BE34" s="582"/>
      <c r="BF34" s="583"/>
      <c r="CW34" s="14"/>
      <c r="CX34" s="14"/>
      <c r="CY34" s="14"/>
      <c r="CZ34" s="14"/>
      <c r="DA34" s="14"/>
      <c r="DB34" s="14"/>
      <c r="DC34" s="14"/>
      <c r="DD34" s="14"/>
      <c r="DE34" s="139"/>
      <c r="DF34" s="139"/>
      <c r="DG34" s="139"/>
      <c r="DH34" s="139"/>
      <c r="DI34" s="251"/>
      <c r="DJ34" s="255"/>
      <c r="DK34" s="255"/>
      <c r="DL34" s="255"/>
      <c r="DM34" s="255"/>
      <c r="DN34" s="255"/>
      <c r="DO34" s="255"/>
      <c r="DP34" s="252"/>
      <c r="DQ34" s="593"/>
      <c r="DR34" s="593"/>
      <c r="DS34" s="593"/>
      <c r="DT34" s="593"/>
      <c r="DU34" s="593"/>
      <c r="DV34" s="593"/>
      <c r="DW34" s="593"/>
      <c r="DX34" s="594"/>
      <c r="DY34" s="590"/>
      <c r="DZ34" s="591"/>
      <c r="EA34" s="591"/>
      <c r="EB34" s="591"/>
      <c r="EC34" s="591"/>
      <c r="ED34" s="591"/>
      <c r="EE34" s="591"/>
      <c r="EF34" s="592"/>
      <c r="EG34" s="140"/>
      <c r="EH34" s="140"/>
      <c r="EI34" s="140"/>
      <c r="EJ34" s="140"/>
      <c r="EK34" s="140"/>
      <c r="EL34" s="140"/>
      <c r="EM34" s="140"/>
      <c r="EN34" s="140"/>
      <c r="EO34" s="18"/>
      <c r="EP34" s="18"/>
      <c r="EQ34" s="18"/>
      <c r="ER34" s="18"/>
    </row>
  </sheetData>
  <mergeCells count="281">
    <mergeCell ref="DI28:DP28"/>
    <mergeCell ref="DQ28:DX28"/>
    <mergeCell ref="DY28:EF28"/>
    <mergeCell ref="DI29:DP31"/>
    <mergeCell ref="DQ29:DX31"/>
    <mergeCell ref="DY29:EF31"/>
    <mergeCell ref="DI32:DP34"/>
    <mergeCell ref="DQ32:DX34"/>
    <mergeCell ref="DY32:EF34"/>
    <mergeCell ref="A28:M34"/>
    <mergeCell ref="N28:AB34"/>
    <mergeCell ref="AC28:AQ34"/>
    <mergeCell ref="AR28:BF34"/>
    <mergeCell ref="EO25:ER25"/>
    <mergeCell ref="CS24:CV24"/>
    <mergeCell ref="CW24:CZ24"/>
    <mergeCell ref="DA24:DD24"/>
    <mergeCell ref="DE24:DH24"/>
    <mergeCell ref="DQ24:DT24"/>
    <mergeCell ref="DU24:DX24"/>
    <mergeCell ref="R24:BH24"/>
    <mergeCell ref="CK20:CR24"/>
    <mergeCell ref="DQ23:DT23"/>
    <mergeCell ref="DU23:DX23"/>
    <mergeCell ref="EG23:EJ23"/>
    <mergeCell ref="EK23:EN23"/>
    <mergeCell ref="EG24:EJ24"/>
    <mergeCell ref="EK24:EN24"/>
    <mergeCell ref="R22:BH22"/>
    <mergeCell ref="BI22:BL22"/>
    <mergeCell ref="BQ22:BT22"/>
    <mergeCell ref="CC22:CF22"/>
    <mergeCell ref="CG22:CJ22"/>
    <mergeCell ref="EO21:ER21"/>
    <mergeCell ref="A27:M27"/>
    <mergeCell ref="N27:AB27"/>
    <mergeCell ref="AC27:AQ27"/>
    <mergeCell ref="AR27:BF27"/>
    <mergeCell ref="G24:Q24"/>
    <mergeCell ref="EO23:ER23"/>
    <mergeCell ref="EO22:ER22"/>
    <mergeCell ref="G23:Q23"/>
    <mergeCell ref="R23:BH23"/>
    <mergeCell ref="BI23:BL23"/>
    <mergeCell ref="BQ23:BT23"/>
    <mergeCell ref="CC23:CF23"/>
    <mergeCell ref="CG23:CJ23"/>
    <mergeCell ref="CS23:CV23"/>
    <mergeCell ref="CW23:CZ23"/>
    <mergeCell ref="DA23:DD23"/>
    <mergeCell ref="CS22:CV22"/>
    <mergeCell ref="CW22:CZ22"/>
    <mergeCell ref="DA22:DD22"/>
    <mergeCell ref="DE22:DH22"/>
    <mergeCell ref="DU22:DX22"/>
    <mergeCell ref="EO24:ER24"/>
    <mergeCell ref="BG25:BH25"/>
    <mergeCell ref="A26:AB26"/>
    <mergeCell ref="AC26:BF26"/>
    <mergeCell ref="BI25:BL25"/>
    <mergeCell ref="BM25:BP25"/>
    <mergeCell ref="CC25:CF25"/>
    <mergeCell ref="CS25:CV25"/>
    <mergeCell ref="DA25:DD25"/>
    <mergeCell ref="DQ25:DT25"/>
    <mergeCell ref="DE23:DH23"/>
    <mergeCell ref="EG25:EJ25"/>
    <mergeCell ref="BQ24:BT24"/>
    <mergeCell ref="CC24:CF24"/>
    <mergeCell ref="CG24:CJ24"/>
    <mergeCell ref="EO20:ER20"/>
    <mergeCell ref="G21:Q21"/>
    <mergeCell ref="R21:BH21"/>
    <mergeCell ref="BI21:BL21"/>
    <mergeCell ref="BQ21:BT21"/>
    <mergeCell ref="CC21:CF21"/>
    <mergeCell ref="CG21:CJ21"/>
    <mergeCell ref="CS21:CV21"/>
    <mergeCell ref="CW21:CZ21"/>
    <mergeCell ref="DA21:DD21"/>
    <mergeCell ref="DI20:DP24"/>
    <mergeCell ref="DQ20:DT20"/>
    <mergeCell ref="DU20:DX20"/>
    <mergeCell ref="DY20:EF24"/>
    <mergeCell ref="EG20:EJ20"/>
    <mergeCell ref="EK20:EN20"/>
    <mergeCell ref="EG22:EJ22"/>
    <mergeCell ref="EK22:EN22"/>
    <mergeCell ref="DA20:DD20"/>
    <mergeCell ref="DQ22:DT22"/>
    <mergeCell ref="G22:Q22"/>
    <mergeCell ref="CS20:CV20"/>
    <mergeCell ref="CW20:CZ20"/>
    <mergeCell ref="BI24:BL24"/>
    <mergeCell ref="EK19:EN19"/>
    <mergeCell ref="EO19:ER19"/>
    <mergeCell ref="DA19:DD19"/>
    <mergeCell ref="DE19:DH19"/>
    <mergeCell ref="DQ19:DT19"/>
    <mergeCell ref="DU19:DX19"/>
    <mergeCell ref="G20:Q20"/>
    <mergeCell ref="R20:BH20"/>
    <mergeCell ref="BI20:BL20"/>
    <mergeCell ref="BM20:BP24"/>
    <mergeCell ref="BQ20:BT20"/>
    <mergeCell ref="BU20:CB24"/>
    <mergeCell ref="CS19:CV19"/>
    <mergeCell ref="CW19:CZ19"/>
    <mergeCell ref="G19:Q19"/>
    <mergeCell ref="R19:BH19"/>
    <mergeCell ref="BI19:BL19"/>
    <mergeCell ref="BQ19:BT19"/>
    <mergeCell ref="CC19:CF19"/>
    <mergeCell ref="EG21:EJ21"/>
    <mergeCell ref="CC20:CF20"/>
    <mergeCell ref="CG20:CJ20"/>
    <mergeCell ref="DU21:DX21"/>
    <mergeCell ref="EK21:EN21"/>
    <mergeCell ref="DE18:DH18"/>
    <mergeCell ref="DQ18:DT18"/>
    <mergeCell ref="DU18:DX18"/>
    <mergeCell ref="EG18:EJ18"/>
    <mergeCell ref="EG19:EJ19"/>
    <mergeCell ref="EK18:EN18"/>
    <mergeCell ref="DE20:DH20"/>
    <mergeCell ref="DE21:DH21"/>
    <mergeCell ref="DQ21:DT21"/>
    <mergeCell ref="EO18:ER18"/>
    <mergeCell ref="EO17:ER17"/>
    <mergeCell ref="G18:Q18"/>
    <mergeCell ref="R18:BH18"/>
    <mergeCell ref="BI18:BL18"/>
    <mergeCell ref="BQ18:BT18"/>
    <mergeCell ref="CC18:CF18"/>
    <mergeCell ref="CG18:CJ18"/>
    <mergeCell ref="CS18:CV18"/>
    <mergeCell ref="CW18:CZ18"/>
    <mergeCell ref="DA18:DD18"/>
    <mergeCell ref="DA17:DD17"/>
    <mergeCell ref="DE17:DH17"/>
    <mergeCell ref="DQ17:DT17"/>
    <mergeCell ref="DU17:DX17"/>
    <mergeCell ref="EG17:EJ17"/>
    <mergeCell ref="EK17:EN17"/>
    <mergeCell ref="G17:Q17"/>
    <mergeCell ref="R17:BH17"/>
    <mergeCell ref="EK15:EN15"/>
    <mergeCell ref="EO15:ER15"/>
    <mergeCell ref="G16:Q16"/>
    <mergeCell ref="R16:BH16"/>
    <mergeCell ref="BI16:BL16"/>
    <mergeCell ref="BQ16:BT16"/>
    <mergeCell ref="CC16:CF16"/>
    <mergeCell ref="CG16:CJ16"/>
    <mergeCell ref="CS16:CV16"/>
    <mergeCell ref="CW16:CZ16"/>
    <mergeCell ref="DE16:DH16"/>
    <mergeCell ref="DQ16:DT16"/>
    <mergeCell ref="DU16:DX16"/>
    <mergeCell ref="EG16:EJ16"/>
    <mergeCell ref="EK16:EN16"/>
    <mergeCell ref="DY13:EF13"/>
    <mergeCell ref="EK14:EN14"/>
    <mergeCell ref="EO14:ER14"/>
    <mergeCell ref="G15:Q15"/>
    <mergeCell ref="R15:BH15"/>
    <mergeCell ref="BI15:BL15"/>
    <mergeCell ref="BQ15:BT15"/>
    <mergeCell ref="CC15:CF15"/>
    <mergeCell ref="CG15:CJ15"/>
    <mergeCell ref="CS15:CV15"/>
    <mergeCell ref="CW15:CZ15"/>
    <mergeCell ref="DE14:DH14"/>
    <mergeCell ref="DI14:DP19"/>
    <mergeCell ref="DQ14:DT14"/>
    <mergeCell ref="DU14:DX14"/>
    <mergeCell ref="DY14:EF19"/>
    <mergeCell ref="EG14:EJ14"/>
    <mergeCell ref="DE15:DH15"/>
    <mergeCell ref="DQ15:DT15"/>
    <mergeCell ref="DU15:DX15"/>
    <mergeCell ref="EG15:EJ15"/>
    <mergeCell ref="CC14:CF14"/>
    <mergeCell ref="EO16:ER16"/>
    <mergeCell ref="DU13:DX13"/>
    <mergeCell ref="G14:Q14"/>
    <mergeCell ref="R14:BH14"/>
    <mergeCell ref="BI14:BL14"/>
    <mergeCell ref="BM14:BP19"/>
    <mergeCell ref="BQ14:BT14"/>
    <mergeCell ref="BU14:CB19"/>
    <mergeCell ref="DA13:DD13"/>
    <mergeCell ref="DE13:DH13"/>
    <mergeCell ref="G11:Q13"/>
    <mergeCell ref="R11:BH13"/>
    <mergeCell ref="CW14:CZ14"/>
    <mergeCell ref="DA14:DD14"/>
    <mergeCell ref="DA15:DD15"/>
    <mergeCell ref="DA16:DD16"/>
    <mergeCell ref="CS17:CV17"/>
    <mergeCell ref="CW17:CZ17"/>
    <mergeCell ref="CG14:CJ14"/>
    <mergeCell ref="CK14:CR19"/>
    <mergeCell ref="CS14:CV14"/>
    <mergeCell ref="BI17:BL17"/>
    <mergeCell ref="BQ17:BT17"/>
    <mergeCell ref="CC17:CF17"/>
    <mergeCell ref="CG17:CJ17"/>
    <mergeCell ref="CG19:CJ19"/>
    <mergeCell ref="DZ6:EE7"/>
    <mergeCell ref="EK12:ER12"/>
    <mergeCell ref="BI13:BL13"/>
    <mergeCell ref="BM13:BP13"/>
    <mergeCell ref="BQ13:BT13"/>
    <mergeCell ref="BU13:CB13"/>
    <mergeCell ref="CC13:CF13"/>
    <mergeCell ref="CG13:CJ13"/>
    <mergeCell ref="CK13:CR13"/>
    <mergeCell ref="CS13:CV13"/>
    <mergeCell ref="CW13:CZ13"/>
    <mergeCell ref="BI11:BP12"/>
    <mergeCell ref="BQ11:DD11"/>
    <mergeCell ref="DE11:ER11"/>
    <mergeCell ref="BQ12:CF12"/>
    <mergeCell ref="CG12:CV12"/>
    <mergeCell ref="CW12:DD12"/>
    <mergeCell ref="DE12:DT12"/>
    <mergeCell ref="DU12:EJ12"/>
    <mergeCell ref="EG13:EJ13"/>
    <mergeCell ref="EK13:EN13"/>
    <mergeCell ref="EO13:ER13"/>
    <mergeCell ref="DI13:DP13"/>
    <mergeCell ref="DQ13:DT13"/>
    <mergeCell ref="EL6:EQ7"/>
    <mergeCell ref="EF8:EK9"/>
    <mergeCell ref="EL8:EQ9"/>
    <mergeCell ref="DZ4:EE5"/>
    <mergeCell ref="EF4:EK5"/>
    <mergeCell ref="EL4:EQ5"/>
    <mergeCell ref="B5:D5"/>
    <mergeCell ref="E5:BC5"/>
    <mergeCell ref="B6:D6"/>
    <mergeCell ref="E6:BC6"/>
    <mergeCell ref="BH6:BL7"/>
    <mergeCell ref="BM6:BY7"/>
    <mergeCell ref="BZ6:CD7"/>
    <mergeCell ref="B7:D7"/>
    <mergeCell ref="E7:BC7"/>
    <mergeCell ref="B8:D8"/>
    <mergeCell ref="E8:BC8"/>
    <mergeCell ref="DW8:DY9"/>
    <mergeCell ref="DZ8:EE9"/>
    <mergeCell ref="B9:D9"/>
    <mergeCell ref="E9:BC9"/>
    <mergeCell ref="CE6:CR7"/>
    <mergeCell ref="DR6:DV9"/>
    <mergeCell ref="DW6:DY7"/>
    <mergeCell ref="DW10:EQ10"/>
    <mergeCell ref="A14:F19"/>
    <mergeCell ref="A20:F24"/>
    <mergeCell ref="D1:E1"/>
    <mergeCell ref="DR1:DY1"/>
    <mergeCell ref="DZ1:EE1"/>
    <mergeCell ref="EF1:EK1"/>
    <mergeCell ref="EL1:EQ1"/>
    <mergeCell ref="AU2:AY3"/>
    <mergeCell ref="BH2:BL3"/>
    <mergeCell ref="BM2:CR3"/>
    <mergeCell ref="DR2:DV5"/>
    <mergeCell ref="DW2:DY3"/>
    <mergeCell ref="DZ2:EE3"/>
    <mergeCell ref="EF2:EK3"/>
    <mergeCell ref="EL2:EQ3"/>
    <mergeCell ref="B4:D4"/>
    <mergeCell ref="E4:BC4"/>
    <mergeCell ref="BH4:BL5"/>
    <mergeCell ref="BM4:BY5"/>
    <mergeCell ref="BZ4:CD5"/>
    <mergeCell ref="CE4:CR5"/>
    <mergeCell ref="DW4:DY5"/>
    <mergeCell ref="EF6:EK7"/>
  </mergeCells>
  <phoneticPr fontId="2"/>
  <dataValidations disablePrompts="1" count="1">
    <dataValidation type="list" allowBlank="1" showInputMessage="1" showErrorMessage="1" sqref="BQ14:BT24 CG14:CJ24 DU14:DX24 DE14:DH24" xr:uid="{00000000-0002-0000-02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6" orientation="landscape" r:id="rId1"/>
  <headerFooter>
    <oddHeader>&amp;L【機密Ⅰ】</oddHeader>
    <oddFooter>&amp;LSO-F3071&amp;RVer.1.3
2024/03/21</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4"/>
  <sheetViews>
    <sheetView showGridLines="0" view="pageBreakPreview" zoomScale="85" zoomScaleNormal="80" zoomScaleSheetLayoutView="85" workbookViewId="0">
      <selection sqref="A1:M1"/>
    </sheetView>
  </sheetViews>
  <sheetFormatPr defaultColWidth="9" defaultRowHeight="14.25"/>
  <cols>
    <col min="1" max="1" width="16.75" style="142" customWidth="1"/>
    <col min="2" max="13" width="8.75" style="142" customWidth="1"/>
    <col min="14" max="16384" width="9" style="142"/>
  </cols>
  <sheetData>
    <row r="1" spans="1:13" ht="41.25" customHeight="1">
      <c r="A1" s="636" t="s">
        <v>179</v>
      </c>
      <c r="B1" s="637"/>
      <c r="C1" s="637"/>
      <c r="D1" s="637"/>
      <c r="E1" s="637"/>
      <c r="F1" s="637"/>
      <c r="G1" s="637"/>
      <c r="H1" s="637"/>
      <c r="I1" s="637"/>
      <c r="J1" s="637"/>
      <c r="K1" s="637"/>
      <c r="L1" s="637"/>
      <c r="M1" s="637"/>
    </row>
    <row r="2" spans="1:13" ht="26.25" customHeight="1">
      <c r="A2" s="638"/>
      <c r="B2" s="638"/>
      <c r="C2" s="638"/>
      <c r="D2" s="638"/>
      <c r="E2" s="638"/>
      <c r="F2" s="638"/>
      <c r="G2" s="638"/>
      <c r="H2" s="638"/>
      <c r="I2" s="639"/>
      <c r="J2" s="143" t="s">
        <v>180</v>
      </c>
      <c r="K2" s="144" t="s">
        <v>397</v>
      </c>
      <c r="L2" s="145" t="s">
        <v>398</v>
      </c>
      <c r="M2" s="146" t="s">
        <v>399</v>
      </c>
    </row>
    <row r="3" spans="1:13" ht="32.25" customHeight="1">
      <c r="A3" s="161" t="s">
        <v>181</v>
      </c>
      <c r="B3" s="147" t="s">
        <v>182</v>
      </c>
      <c r="C3" s="640" t="s">
        <v>395</v>
      </c>
      <c r="D3" s="641"/>
      <c r="E3" s="641"/>
      <c r="F3" s="641"/>
      <c r="G3" s="641"/>
      <c r="H3" s="641"/>
      <c r="I3" s="642"/>
      <c r="J3" s="147" t="s">
        <v>183</v>
      </c>
      <c r="K3" s="643" t="s">
        <v>396</v>
      </c>
      <c r="L3" s="644"/>
      <c r="M3" s="644"/>
    </row>
    <row r="4" spans="1:13" ht="24.75" customHeight="1">
      <c r="A4" s="645"/>
      <c r="B4" s="645"/>
      <c r="C4" s="645"/>
      <c r="D4" s="645"/>
      <c r="E4" s="645"/>
      <c r="F4" s="645"/>
      <c r="G4" s="645"/>
      <c r="H4" s="645"/>
      <c r="I4" s="645"/>
      <c r="J4" s="645"/>
      <c r="K4" s="645"/>
      <c r="L4" s="645"/>
      <c r="M4" s="645"/>
    </row>
    <row r="5" spans="1:13" ht="30" customHeight="1">
      <c r="A5" s="628" t="s">
        <v>184</v>
      </c>
      <c r="B5" s="630" t="s">
        <v>185</v>
      </c>
      <c r="C5" s="631"/>
      <c r="D5" s="631"/>
      <c r="E5" s="631"/>
      <c r="F5" s="631"/>
      <c r="G5" s="631"/>
      <c r="H5" s="631"/>
      <c r="I5" s="631"/>
      <c r="J5" s="631"/>
      <c r="K5" s="631"/>
      <c r="L5" s="631"/>
      <c r="M5" s="632"/>
    </row>
    <row r="6" spans="1:13" ht="60" customHeight="1">
      <c r="A6" s="629"/>
      <c r="B6" s="633"/>
      <c r="C6" s="634"/>
      <c r="D6" s="634"/>
      <c r="E6" s="634"/>
      <c r="F6" s="634"/>
      <c r="G6" s="634"/>
      <c r="H6" s="634"/>
      <c r="I6" s="634"/>
      <c r="J6" s="634"/>
      <c r="K6" s="634"/>
      <c r="L6" s="634"/>
      <c r="M6" s="635"/>
    </row>
    <row r="7" spans="1:13" ht="30" customHeight="1">
      <c r="A7" s="629" t="s">
        <v>186</v>
      </c>
      <c r="B7" s="646" t="s">
        <v>187</v>
      </c>
      <c r="C7" s="647"/>
      <c r="D7" s="647"/>
      <c r="E7" s="647"/>
      <c r="F7" s="647"/>
      <c r="G7" s="647"/>
      <c r="H7" s="647"/>
      <c r="I7" s="647"/>
      <c r="J7" s="647"/>
      <c r="K7" s="647"/>
      <c r="L7" s="647"/>
      <c r="M7" s="648"/>
    </row>
    <row r="8" spans="1:13" ht="30" customHeight="1">
      <c r="A8" s="629"/>
      <c r="B8" s="630" t="s">
        <v>188</v>
      </c>
      <c r="C8" s="631"/>
      <c r="D8" s="631"/>
      <c r="E8" s="631"/>
      <c r="F8" s="631"/>
      <c r="G8" s="631"/>
      <c r="H8" s="631"/>
      <c r="I8" s="631"/>
      <c r="J8" s="631"/>
      <c r="K8" s="631"/>
      <c r="L8" s="631"/>
      <c r="M8" s="632"/>
    </row>
    <row r="9" spans="1:13" ht="30" customHeight="1">
      <c r="A9" s="629"/>
      <c r="B9" s="649"/>
      <c r="C9" s="634"/>
      <c r="D9" s="634"/>
      <c r="E9" s="634"/>
      <c r="F9" s="634"/>
      <c r="G9" s="634"/>
      <c r="H9" s="634"/>
      <c r="I9" s="634"/>
      <c r="J9" s="634"/>
      <c r="K9" s="634"/>
      <c r="L9" s="634"/>
      <c r="M9" s="635"/>
    </row>
    <row r="10" spans="1:13" ht="30" customHeight="1">
      <c r="A10" s="629"/>
      <c r="B10" s="630" t="s">
        <v>189</v>
      </c>
      <c r="C10" s="631"/>
      <c r="D10" s="631"/>
      <c r="E10" s="631"/>
      <c r="F10" s="631"/>
      <c r="G10" s="631"/>
      <c r="H10" s="631"/>
      <c r="I10" s="631"/>
      <c r="J10" s="631"/>
      <c r="K10" s="631"/>
      <c r="L10" s="631"/>
      <c r="M10" s="632"/>
    </row>
    <row r="11" spans="1:13" ht="30" customHeight="1">
      <c r="A11" s="629"/>
      <c r="B11" s="633"/>
      <c r="C11" s="634"/>
      <c r="D11" s="634"/>
      <c r="E11" s="634"/>
      <c r="F11" s="634"/>
      <c r="G11" s="634"/>
      <c r="H11" s="634"/>
      <c r="I11" s="634"/>
      <c r="J11" s="634"/>
      <c r="K11" s="634"/>
      <c r="L11" s="634"/>
      <c r="M11" s="635"/>
    </row>
    <row r="12" spans="1:13" ht="30" customHeight="1">
      <c r="A12" s="629"/>
      <c r="B12" s="630" t="s">
        <v>190</v>
      </c>
      <c r="C12" s="631"/>
      <c r="D12" s="631"/>
      <c r="E12" s="631"/>
      <c r="F12" s="631"/>
      <c r="G12" s="631"/>
      <c r="H12" s="631"/>
      <c r="I12" s="631"/>
      <c r="J12" s="631"/>
      <c r="K12" s="631"/>
      <c r="L12" s="631"/>
      <c r="M12" s="632"/>
    </row>
    <row r="13" spans="1:13" ht="30" customHeight="1">
      <c r="A13" s="629"/>
      <c r="B13" s="633"/>
      <c r="C13" s="634"/>
      <c r="D13" s="634"/>
      <c r="E13" s="634"/>
      <c r="F13" s="634"/>
      <c r="G13" s="634"/>
      <c r="H13" s="634"/>
      <c r="I13" s="634"/>
      <c r="J13" s="634"/>
      <c r="K13" s="634"/>
      <c r="L13" s="634"/>
      <c r="M13" s="635"/>
    </row>
    <row r="14" spans="1:13" ht="30" customHeight="1">
      <c r="A14" s="629"/>
      <c r="B14" s="630" t="s">
        <v>191</v>
      </c>
      <c r="C14" s="631"/>
      <c r="D14" s="631"/>
      <c r="E14" s="631"/>
      <c r="F14" s="631"/>
      <c r="G14" s="631"/>
      <c r="H14" s="631"/>
      <c r="I14" s="631"/>
      <c r="J14" s="631"/>
      <c r="K14" s="631"/>
      <c r="L14" s="631"/>
      <c r="M14" s="632"/>
    </row>
    <row r="15" spans="1:13" ht="30" customHeight="1">
      <c r="A15" s="629"/>
      <c r="B15" s="633"/>
      <c r="C15" s="634"/>
      <c r="D15" s="634"/>
      <c r="E15" s="634"/>
      <c r="F15" s="634"/>
      <c r="G15" s="634"/>
      <c r="H15" s="634"/>
      <c r="I15" s="634"/>
      <c r="J15" s="634"/>
      <c r="K15" s="634"/>
      <c r="L15" s="634"/>
      <c r="M15" s="635"/>
    </row>
    <row r="16" spans="1:13" ht="30" customHeight="1">
      <c r="A16" s="628" t="s">
        <v>192</v>
      </c>
      <c r="B16" s="650" t="s">
        <v>193</v>
      </c>
      <c r="C16" s="631"/>
      <c r="D16" s="631"/>
      <c r="E16" s="631"/>
      <c r="F16" s="631"/>
      <c r="G16" s="631"/>
      <c r="H16" s="631"/>
      <c r="I16" s="631"/>
      <c r="J16" s="631"/>
      <c r="K16" s="631"/>
      <c r="L16" s="631"/>
      <c r="M16" s="632"/>
    </row>
    <row r="17" spans="1:13" ht="60" customHeight="1">
      <c r="A17" s="629"/>
      <c r="B17" s="633"/>
      <c r="C17" s="634"/>
      <c r="D17" s="634"/>
      <c r="E17" s="634"/>
      <c r="F17" s="634"/>
      <c r="G17" s="634"/>
      <c r="H17" s="634"/>
      <c r="I17" s="634"/>
      <c r="J17" s="634"/>
      <c r="K17" s="634"/>
      <c r="L17" s="634"/>
      <c r="M17" s="635"/>
    </row>
    <row r="18" spans="1:13" ht="35.25" customHeight="1">
      <c r="A18" s="651" t="s">
        <v>194</v>
      </c>
      <c r="B18" s="651"/>
      <c r="C18" s="651"/>
      <c r="D18" s="651"/>
      <c r="E18" s="651"/>
      <c r="F18" s="651"/>
      <c r="G18" s="651"/>
      <c r="H18" s="651"/>
      <c r="I18" s="651"/>
      <c r="J18" s="651"/>
      <c r="K18" s="651"/>
      <c r="L18" s="651"/>
      <c r="M18" s="651"/>
    </row>
    <row r="19" spans="1:13" ht="60" customHeight="1">
      <c r="A19" s="628" t="s">
        <v>195</v>
      </c>
      <c r="B19" s="652" t="s">
        <v>196</v>
      </c>
      <c r="C19" s="653"/>
      <c r="D19" s="653"/>
      <c r="E19" s="653"/>
      <c r="F19" s="653"/>
      <c r="G19" s="653"/>
      <c r="H19" s="653"/>
      <c r="I19" s="653"/>
      <c r="J19" s="653"/>
      <c r="K19" s="653"/>
      <c r="L19" s="653"/>
      <c r="M19" s="654"/>
    </row>
    <row r="20" spans="1:13" ht="65.25" customHeight="1">
      <c r="A20" s="629"/>
      <c r="B20" s="655"/>
      <c r="C20" s="656"/>
      <c r="D20" s="656"/>
      <c r="E20" s="656"/>
      <c r="F20" s="656"/>
      <c r="G20" s="656"/>
      <c r="H20" s="656"/>
      <c r="I20" s="656"/>
      <c r="J20" s="656"/>
      <c r="K20" s="656"/>
      <c r="L20" s="656"/>
      <c r="M20" s="657"/>
    </row>
    <row r="21" spans="1:13" ht="30" customHeight="1">
      <c r="A21" s="629"/>
      <c r="B21" s="630" t="s">
        <v>197</v>
      </c>
      <c r="C21" s="631"/>
      <c r="D21" s="631"/>
      <c r="E21" s="631"/>
      <c r="F21" s="631"/>
      <c r="G21" s="631"/>
      <c r="H21" s="631"/>
      <c r="I21" s="631"/>
      <c r="J21" s="631"/>
      <c r="K21" s="631"/>
      <c r="L21" s="631"/>
      <c r="M21" s="632"/>
    </row>
    <row r="22" spans="1:13" ht="30" customHeight="1">
      <c r="A22" s="629"/>
      <c r="B22" s="649"/>
      <c r="C22" s="634"/>
      <c r="D22" s="634"/>
      <c r="E22" s="634"/>
      <c r="F22" s="634"/>
      <c r="G22" s="634"/>
      <c r="H22" s="634"/>
      <c r="I22" s="634"/>
      <c r="J22" s="634"/>
      <c r="K22" s="634"/>
      <c r="L22" s="634"/>
      <c r="M22" s="635"/>
    </row>
    <row r="23" spans="1:13" ht="60" customHeight="1">
      <c r="A23" s="629"/>
      <c r="B23" s="630" t="s">
        <v>198</v>
      </c>
      <c r="C23" s="631"/>
      <c r="D23" s="631"/>
      <c r="E23" s="631"/>
      <c r="F23" s="631"/>
      <c r="G23" s="631"/>
      <c r="H23" s="631"/>
      <c r="I23" s="631"/>
      <c r="J23" s="631"/>
      <c r="K23" s="631"/>
      <c r="L23" s="631"/>
      <c r="M23" s="632"/>
    </row>
    <row r="24" spans="1:13" ht="36" customHeight="1">
      <c r="A24" s="629"/>
      <c r="B24" s="649"/>
      <c r="C24" s="634"/>
      <c r="D24" s="634"/>
      <c r="E24" s="634"/>
      <c r="F24" s="634"/>
      <c r="G24" s="634"/>
      <c r="H24" s="634"/>
      <c r="I24" s="634"/>
      <c r="J24" s="634"/>
      <c r="K24" s="634"/>
      <c r="L24" s="634"/>
      <c r="M24" s="635"/>
    </row>
  </sheetData>
  <mergeCells count="29">
    <mergeCell ref="B24:M24"/>
    <mergeCell ref="A16:A17"/>
    <mergeCell ref="B16:M16"/>
    <mergeCell ref="B17:M17"/>
    <mergeCell ref="A18:M18"/>
    <mergeCell ref="A19:A24"/>
    <mergeCell ref="B19:M19"/>
    <mergeCell ref="B20:M20"/>
    <mergeCell ref="B21:M21"/>
    <mergeCell ref="B22:M22"/>
    <mergeCell ref="B23:M23"/>
    <mergeCell ref="A7:A15"/>
    <mergeCell ref="B7:M7"/>
    <mergeCell ref="B8:M8"/>
    <mergeCell ref="B9:M9"/>
    <mergeCell ref="B10:M10"/>
    <mergeCell ref="B11:M11"/>
    <mergeCell ref="B12:M12"/>
    <mergeCell ref="B13:M13"/>
    <mergeCell ref="B14:M14"/>
    <mergeCell ref="B15:M15"/>
    <mergeCell ref="A5:A6"/>
    <mergeCell ref="B5:M5"/>
    <mergeCell ref="B6:M6"/>
    <mergeCell ref="A1:M1"/>
    <mergeCell ref="A2:I2"/>
    <mergeCell ref="C3:I3"/>
    <mergeCell ref="K3:M3"/>
    <mergeCell ref="A4:M4"/>
  </mergeCells>
  <phoneticPr fontId="33"/>
  <pageMargins left="0.70866141732283472" right="0.70866141732283472" top="0.74803149606299213" bottom="0.74803149606299213" header="0.31496062992125984" footer="0.31496062992125984"/>
  <pageSetup paperSize="9" scale="73" orientation="portrait" r:id="rId1"/>
  <headerFooter>
    <oddHeader>&amp;L【機密Ⅰ】</oddHeader>
    <oddFooter>&amp;LSO-F3071&amp;RVer.1.3
2024/03/21</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EJ47"/>
  <sheetViews>
    <sheetView showGridLines="0" view="pageBreakPreview" zoomScale="75" zoomScaleNormal="80" zoomScaleSheetLayoutView="75" workbookViewId="0"/>
  </sheetViews>
  <sheetFormatPr defaultColWidth="1.375" defaultRowHeight="12"/>
  <cols>
    <col min="1" max="4" width="1.375" style="14" customWidth="1"/>
    <col min="5" max="5" width="2" style="14" customWidth="1"/>
    <col min="6" max="14" width="1.375" style="14" customWidth="1"/>
    <col min="15" max="15" width="1.875" style="14" customWidth="1"/>
    <col min="16" max="17" width="1.375" style="14" customWidth="1"/>
    <col min="18" max="18" width="1.875" style="14" customWidth="1"/>
    <col min="19" max="31" width="1.375" style="14" customWidth="1"/>
    <col min="32" max="32" width="0.875" style="14" customWidth="1"/>
    <col min="33" max="50" width="1.375" style="14" customWidth="1"/>
    <col min="51" max="54" width="1.875" style="14" customWidth="1"/>
    <col min="55" max="57" width="1.875" style="14" hidden="1" customWidth="1"/>
    <col min="58" max="58" width="1.75" style="14" customWidth="1"/>
    <col min="59" max="60" width="1.25" style="14" customWidth="1"/>
    <col min="61" max="66" width="1.375" style="14" customWidth="1"/>
    <col min="67" max="67" width="0.75" style="14" customWidth="1"/>
    <col min="68" max="68" width="2.25" style="14" customWidth="1"/>
    <col min="69" max="70" width="1.375" style="14" customWidth="1"/>
    <col min="71" max="71" width="3.375" style="14" customWidth="1"/>
    <col min="72" max="72" width="1.375" style="14" customWidth="1"/>
    <col min="73" max="73" width="1.125" style="14" customWidth="1"/>
    <col min="74" max="74" width="0.375" style="14" customWidth="1"/>
    <col min="75" max="75" width="1" style="14" customWidth="1"/>
    <col min="76" max="106" width="1.375" style="14" customWidth="1"/>
    <col min="107" max="107" width="2.75" style="14" customWidth="1"/>
    <col min="108" max="108" width="3.125" style="14" customWidth="1"/>
    <col min="109" max="109" width="1.375" style="14" customWidth="1"/>
    <col min="110" max="110" width="2" style="14" customWidth="1"/>
    <col min="111" max="112" width="1.375" style="14" customWidth="1"/>
    <col min="113" max="113" width="2.875" style="14" customWidth="1"/>
    <col min="114" max="114" width="0.75" style="14" customWidth="1"/>
    <col min="115" max="115" width="1.25" style="14" customWidth="1"/>
    <col min="116" max="117" width="1.375" style="14" customWidth="1"/>
    <col min="118" max="118" width="1.875" style="14" customWidth="1"/>
    <col min="119" max="119" width="1.375" style="14"/>
    <col min="120" max="120" width="2.25" style="14" customWidth="1"/>
    <col min="121" max="121" width="2.75" style="14" customWidth="1"/>
    <col min="122" max="127" width="1.375" style="14"/>
    <col min="128" max="128" width="0.875" style="14" customWidth="1"/>
    <col min="129" max="129" width="1.375" style="14"/>
    <col min="130" max="130" width="2.75" style="14" customWidth="1"/>
    <col min="131" max="131" width="1.375" style="14" customWidth="1"/>
    <col min="132" max="133" width="1.375" style="14"/>
    <col min="134" max="134" width="1.875" style="14" customWidth="1"/>
    <col min="135" max="135" width="4" style="14" customWidth="1"/>
    <col min="136" max="136" width="1.375" style="14" customWidth="1"/>
    <col min="137" max="16384" width="1.375" style="14"/>
  </cols>
  <sheetData>
    <row r="1" spans="1:140" ht="18.75">
      <c r="A1" s="84" t="s">
        <v>0</v>
      </c>
      <c r="B1" s="85"/>
      <c r="C1" s="85"/>
      <c r="D1" s="347">
        <v>40</v>
      </c>
      <c r="E1" s="347"/>
      <c r="F1" s="85" t="s">
        <v>1</v>
      </c>
      <c r="G1" s="85"/>
      <c r="H1" s="87"/>
      <c r="K1" s="15" t="s">
        <v>199</v>
      </c>
      <c r="AK1" s="16"/>
      <c r="DJ1" s="658"/>
      <c r="DK1" s="658"/>
      <c r="DL1" s="658"/>
      <c r="DM1" s="658"/>
      <c r="DN1" s="658"/>
      <c r="DO1" s="658"/>
      <c r="DP1" s="658"/>
      <c r="DQ1" s="658"/>
      <c r="DR1" s="658"/>
      <c r="DS1" s="658"/>
      <c r="DT1" s="658"/>
      <c r="DU1" s="658"/>
      <c r="DV1" s="658"/>
      <c r="DW1" s="658"/>
      <c r="DX1" s="658"/>
      <c r="DY1" s="658"/>
      <c r="DZ1" s="658"/>
      <c r="EA1" s="658"/>
      <c r="EB1" s="658"/>
      <c r="EC1" s="658"/>
      <c r="ED1" s="659"/>
      <c r="EE1" s="659"/>
      <c r="EF1" s="659"/>
      <c r="EG1" s="659"/>
      <c r="EH1" s="659"/>
      <c r="EI1" s="659"/>
      <c r="EJ1" s="17"/>
    </row>
    <row r="2" spans="1:140" ht="18.75">
      <c r="A2" s="141"/>
      <c r="B2" s="141"/>
      <c r="C2" s="141"/>
      <c r="D2" s="159"/>
      <c r="E2" s="159"/>
      <c r="F2" s="141"/>
      <c r="G2" s="141"/>
      <c r="H2" s="141"/>
      <c r="K2" s="15"/>
      <c r="AK2" s="16"/>
      <c r="DJ2" s="156"/>
      <c r="DK2" s="156"/>
      <c r="DL2" s="156"/>
      <c r="DM2" s="156"/>
      <c r="DN2" s="156"/>
      <c r="DO2" s="156"/>
      <c r="DP2" s="156"/>
      <c r="DQ2" s="156"/>
      <c r="DR2" s="156"/>
      <c r="DS2" s="156"/>
      <c r="DT2" s="156"/>
      <c r="DU2" s="156"/>
      <c r="DV2" s="156"/>
      <c r="DW2" s="156"/>
      <c r="DX2" s="156"/>
      <c r="DY2" s="156"/>
      <c r="DZ2" s="156"/>
      <c r="EA2" s="156"/>
      <c r="EB2" s="156"/>
      <c r="EC2" s="156"/>
      <c r="ED2" s="157"/>
      <c r="EE2" s="157"/>
      <c r="EF2" s="157"/>
      <c r="EG2" s="157"/>
      <c r="EH2" s="157"/>
      <c r="EI2" s="157"/>
      <c r="EJ2" s="17"/>
    </row>
    <row r="3" spans="1:140" ht="12" customHeight="1">
      <c r="A3" s="141"/>
      <c r="B3" s="141"/>
      <c r="C3" s="141"/>
      <c r="D3" s="159"/>
      <c r="E3" s="159"/>
      <c r="F3" s="141"/>
      <c r="G3" s="141"/>
      <c r="H3" s="141"/>
      <c r="K3" s="15"/>
      <c r="AK3" s="16"/>
      <c r="AT3" s="506" t="s">
        <v>9</v>
      </c>
      <c r="AU3" s="671"/>
      <c r="AV3" s="671"/>
      <c r="AW3" s="671"/>
      <c r="AX3" s="671"/>
      <c r="AY3" s="674" t="str">
        <f>IF(業績評価ｼｰﾄ!BU2="","",業績評価ｼｰﾄ!BU2)</f>
        <v>EMB本部 第1EMBSOL部 開発第1課</v>
      </c>
      <c r="AZ3" s="675"/>
      <c r="BA3" s="675"/>
      <c r="BB3" s="675"/>
      <c r="BC3" s="675"/>
      <c r="BD3" s="675"/>
      <c r="BE3" s="675"/>
      <c r="BF3" s="675"/>
      <c r="BG3" s="675"/>
      <c r="BH3" s="675"/>
      <c r="BI3" s="675"/>
      <c r="BJ3" s="675"/>
      <c r="BK3" s="675"/>
      <c r="BL3" s="675"/>
      <c r="BM3" s="675"/>
      <c r="BN3" s="675"/>
      <c r="BO3" s="675"/>
      <c r="BP3" s="675"/>
      <c r="BQ3" s="675"/>
      <c r="BR3" s="675"/>
      <c r="BS3" s="675"/>
      <c r="BT3" s="675"/>
      <c r="BU3" s="675"/>
      <c r="BV3" s="675"/>
      <c r="BW3" s="675"/>
      <c r="BX3" s="675"/>
      <c r="BY3" s="675"/>
      <c r="BZ3" s="675"/>
      <c r="CA3" s="675"/>
      <c r="CB3" s="675"/>
      <c r="CC3" s="675"/>
      <c r="CD3" s="676"/>
      <c r="DJ3" s="156"/>
      <c r="DK3" s="156"/>
      <c r="DL3" s="156"/>
      <c r="DM3" s="156"/>
      <c r="DN3" s="156"/>
      <c r="DO3" s="156"/>
      <c r="DP3" s="156"/>
      <c r="DQ3" s="156"/>
      <c r="DR3" s="156"/>
      <c r="DS3" s="156"/>
      <c r="DT3" s="156"/>
      <c r="DU3" s="156"/>
      <c r="DV3" s="156"/>
      <c r="DW3" s="156"/>
      <c r="DX3" s="156"/>
      <c r="DY3" s="156"/>
      <c r="DZ3" s="156"/>
      <c r="EA3" s="156"/>
      <c r="EB3" s="156"/>
      <c r="EC3" s="156"/>
      <c r="ED3" s="157"/>
      <c r="EE3" s="157"/>
      <c r="EF3" s="157"/>
      <c r="EG3" s="157"/>
      <c r="EH3" s="157"/>
      <c r="EI3" s="157"/>
      <c r="EJ3" s="17"/>
    </row>
    <row r="4" spans="1:140" ht="12" customHeight="1">
      <c r="A4" s="141"/>
      <c r="B4" s="141"/>
      <c r="C4" s="141"/>
      <c r="D4" s="159"/>
      <c r="E4" s="159"/>
      <c r="F4" s="141"/>
      <c r="G4" s="141"/>
      <c r="H4" s="141"/>
      <c r="K4" s="15"/>
      <c r="AK4" s="16"/>
      <c r="AT4" s="672"/>
      <c r="AU4" s="673"/>
      <c r="AV4" s="673"/>
      <c r="AW4" s="673"/>
      <c r="AX4" s="673"/>
      <c r="AY4" s="677"/>
      <c r="AZ4" s="678"/>
      <c r="BA4" s="678"/>
      <c r="BB4" s="678"/>
      <c r="BC4" s="678"/>
      <c r="BD4" s="678"/>
      <c r="BE4" s="678"/>
      <c r="BF4" s="678"/>
      <c r="BG4" s="678"/>
      <c r="BH4" s="678"/>
      <c r="BI4" s="678"/>
      <c r="BJ4" s="678"/>
      <c r="BK4" s="678"/>
      <c r="BL4" s="678"/>
      <c r="BM4" s="678"/>
      <c r="BN4" s="678"/>
      <c r="BO4" s="678"/>
      <c r="BP4" s="678"/>
      <c r="BQ4" s="678"/>
      <c r="BR4" s="678"/>
      <c r="BS4" s="678"/>
      <c r="BT4" s="678"/>
      <c r="BU4" s="678"/>
      <c r="BV4" s="678"/>
      <c r="BW4" s="678"/>
      <c r="BX4" s="678"/>
      <c r="BY4" s="678"/>
      <c r="BZ4" s="678"/>
      <c r="CA4" s="678"/>
      <c r="CB4" s="678"/>
      <c r="CC4" s="678"/>
      <c r="CD4" s="679"/>
      <c r="DJ4" s="156"/>
      <c r="DK4" s="156"/>
      <c r="DL4" s="156"/>
      <c r="DM4" s="156"/>
      <c r="DN4" s="156"/>
      <c r="DO4" s="156"/>
      <c r="DP4" s="156"/>
      <c r="DQ4" s="156"/>
      <c r="DR4" s="156"/>
      <c r="DS4" s="156"/>
      <c r="DT4" s="156"/>
      <c r="DU4" s="156"/>
      <c r="DV4" s="156"/>
      <c r="DW4" s="156"/>
      <c r="DX4" s="156"/>
      <c r="DY4" s="156"/>
      <c r="DZ4" s="156"/>
      <c r="EA4" s="156"/>
      <c r="EB4" s="156"/>
      <c r="EC4" s="156"/>
      <c r="ED4" s="157"/>
      <c r="EE4" s="157"/>
      <c r="EF4" s="157"/>
      <c r="EG4" s="157"/>
      <c r="EH4" s="157"/>
      <c r="EI4" s="157"/>
      <c r="EJ4" s="17"/>
    </row>
    <row r="5" spans="1:140" ht="12" customHeight="1">
      <c r="A5" s="141"/>
      <c r="B5" s="141"/>
      <c r="C5" s="141"/>
      <c r="D5" s="159"/>
      <c r="E5" s="159"/>
      <c r="F5" s="141"/>
      <c r="G5" s="141"/>
      <c r="H5" s="141"/>
      <c r="K5" s="15"/>
      <c r="AK5" s="16"/>
      <c r="AT5" s="506" t="s">
        <v>12</v>
      </c>
      <c r="AU5" s="507"/>
      <c r="AV5" s="507"/>
      <c r="AW5" s="507"/>
      <c r="AX5" s="508"/>
      <c r="AY5" s="680" t="str">
        <f>IF(業績評価ｼｰﾄ!BU4="","",業績評価ｼｰﾄ!BU4)</f>
        <v>中村　洋太</v>
      </c>
      <c r="AZ5" s="681"/>
      <c r="BA5" s="681"/>
      <c r="BB5" s="681"/>
      <c r="BC5" s="681"/>
      <c r="BD5" s="681"/>
      <c r="BE5" s="681"/>
      <c r="BF5" s="681"/>
      <c r="BG5" s="681"/>
      <c r="BH5" s="681"/>
      <c r="BI5" s="681"/>
      <c r="BJ5" s="681"/>
      <c r="BK5" s="682"/>
      <c r="BL5" s="501" t="s">
        <v>13</v>
      </c>
      <c r="BM5" s="501"/>
      <c r="BN5" s="501"/>
      <c r="BO5" s="501"/>
      <c r="BP5" s="501"/>
      <c r="BQ5" s="660">
        <f>IF(業績評価ｼｰﾄ!CM4="","",業績評価ｼｰﾄ!CM4)</f>
        <v>290863</v>
      </c>
      <c r="BR5" s="661"/>
      <c r="BS5" s="661"/>
      <c r="BT5" s="661"/>
      <c r="BU5" s="661"/>
      <c r="BV5" s="661"/>
      <c r="BW5" s="661"/>
      <c r="BX5" s="661"/>
      <c r="BY5" s="661"/>
      <c r="BZ5" s="661"/>
      <c r="CA5" s="661"/>
      <c r="CB5" s="661"/>
      <c r="CC5" s="661"/>
      <c r="CD5" s="662"/>
      <c r="DJ5" s="156"/>
      <c r="DK5" s="156"/>
      <c r="DL5" s="156"/>
      <c r="DM5" s="156"/>
      <c r="DN5" s="156"/>
      <c r="DO5" s="156"/>
      <c r="DP5" s="156"/>
      <c r="DQ5" s="156"/>
      <c r="DR5" s="156"/>
      <c r="DS5" s="156"/>
      <c r="DT5" s="156"/>
      <c r="DU5" s="156"/>
      <c r="DV5" s="156"/>
      <c r="DW5" s="156"/>
      <c r="DX5" s="156"/>
      <c r="DY5" s="156"/>
      <c r="DZ5" s="156"/>
      <c r="EA5" s="156"/>
      <c r="EB5" s="156"/>
      <c r="EC5" s="156"/>
      <c r="ED5" s="157"/>
      <c r="EE5" s="157"/>
      <c r="EF5" s="157"/>
      <c r="EG5" s="157"/>
      <c r="EH5" s="157"/>
      <c r="EI5" s="157"/>
      <c r="EJ5" s="17"/>
    </row>
    <row r="6" spans="1:140" ht="12" customHeight="1">
      <c r="A6" s="141"/>
      <c r="B6" s="141"/>
      <c r="C6" s="141"/>
      <c r="D6" s="159"/>
      <c r="E6" s="159"/>
      <c r="F6" s="141"/>
      <c r="G6" s="141"/>
      <c r="H6" s="141"/>
      <c r="K6" s="15"/>
      <c r="AK6" s="16"/>
      <c r="AT6" s="509"/>
      <c r="AU6" s="510"/>
      <c r="AV6" s="510"/>
      <c r="AW6" s="510"/>
      <c r="AX6" s="511"/>
      <c r="AY6" s="683"/>
      <c r="AZ6" s="684"/>
      <c r="BA6" s="684"/>
      <c r="BB6" s="684"/>
      <c r="BC6" s="684"/>
      <c r="BD6" s="684"/>
      <c r="BE6" s="684"/>
      <c r="BF6" s="684"/>
      <c r="BG6" s="684"/>
      <c r="BH6" s="684"/>
      <c r="BI6" s="684"/>
      <c r="BJ6" s="684"/>
      <c r="BK6" s="685"/>
      <c r="BL6" s="504"/>
      <c r="BM6" s="504"/>
      <c r="BN6" s="504"/>
      <c r="BO6" s="504"/>
      <c r="BP6" s="504"/>
      <c r="BQ6" s="663"/>
      <c r="BR6" s="664"/>
      <c r="BS6" s="664"/>
      <c r="BT6" s="664"/>
      <c r="BU6" s="664"/>
      <c r="BV6" s="664"/>
      <c r="BW6" s="664"/>
      <c r="BX6" s="664"/>
      <c r="BY6" s="664"/>
      <c r="BZ6" s="664"/>
      <c r="CA6" s="664"/>
      <c r="CB6" s="664"/>
      <c r="CC6" s="664"/>
      <c r="CD6" s="665"/>
      <c r="DJ6" s="156"/>
      <c r="DK6" s="156"/>
      <c r="DL6" s="156"/>
      <c r="DM6" s="156"/>
      <c r="DN6" s="156"/>
      <c r="DO6" s="156"/>
      <c r="DP6" s="156"/>
      <c r="DQ6" s="156"/>
      <c r="DR6" s="156"/>
      <c r="DS6" s="156"/>
      <c r="DT6" s="156"/>
      <c r="DU6" s="156"/>
      <c r="DV6" s="156"/>
      <c r="DW6" s="156"/>
      <c r="DX6" s="156"/>
      <c r="DY6" s="156"/>
      <c r="DZ6" s="156"/>
      <c r="EA6" s="156"/>
      <c r="EB6" s="156"/>
      <c r="EC6" s="156"/>
      <c r="ED6" s="157"/>
      <c r="EE6" s="157"/>
      <c r="EF6" s="157"/>
      <c r="EG6" s="157"/>
      <c r="EH6" s="157"/>
      <c r="EI6" s="157"/>
      <c r="EJ6" s="17"/>
    </row>
    <row r="7" spans="1:140" ht="12" customHeight="1">
      <c r="A7" s="141"/>
      <c r="B7" s="141"/>
      <c r="C7" s="141"/>
      <c r="D7" s="159"/>
      <c r="E7" s="159"/>
      <c r="F7" s="141"/>
      <c r="G7" s="141"/>
      <c r="H7" s="141"/>
      <c r="K7" s="15"/>
      <c r="AK7" s="16"/>
      <c r="AT7" s="506" t="s">
        <v>16</v>
      </c>
      <c r="AU7" s="507"/>
      <c r="AV7" s="507"/>
      <c r="AW7" s="507"/>
      <c r="AX7" s="508"/>
      <c r="AY7" s="660" t="str">
        <f>IF(業績評価ｼｰﾄ!BU6="","",業績評価ｼｰﾄ!BU6)</f>
        <v>G4</v>
      </c>
      <c r="AZ7" s="661"/>
      <c r="BA7" s="661"/>
      <c r="BB7" s="661"/>
      <c r="BC7" s="661"/>
      <c r="BD7" s="661"/>
      <c r="BE7" s="661"/>
      <c r="BF7" s="661"/>
      <c r="BG7" s="661"/>
      <c r="BH7" s="661"/>
      <c r="BI7" s="661"/>
      <c r="BJ7" s="661"/>
      <c r="BK7" s="662"/>
      <c r="BL7" s="507" t="s">
        <v>17</v>
      </c>
      <c r="BM7" s="671"/>
      <c r="BN7" s="671"/>
      <c r="BO7" s="671"/>
      <c r="BP7" s="671"/>
      <c r="BQ7" s="660" t="str">
        <f>IF(業績評価ｼｰﾄ!CM6="","",業績評価ｼｰﾄ!CM6)</f>
        <v>係長・TL</v>
      </c>
      <c r="BR7" s="661"/>
      <c r="BS7" s="661"/>
      <c r="BT7" s="661"/>
      <c r="BU7" s="661"/>
      <c r="BV7" s="661"/>
      <c r="BW7" s="661"/>
      <c r="BX7" s="661"/>
      <c r="BY7" s="661"/>
      <c r="BZ7" s="661"/>
      <c r="CA7" s="661"/>
      <c r="CB7" s="661"/>
      <c r="CC7" s="661"/>
      <c r="CD7" s="662"/>
      <c r="DJ7" s="156"/>
      <c r="DK7" s="156"/>
      <c r="DL7" s="156"/>
      <c r="DM7" s="156"/>
      <c r="DN7" s="156"/>
      <c r="DO7" s="156"/>
      <c r="DP7" s="156"/>
      <c r="DQ7" s="156"/>
      <c r="DR7" s="156"/>
      <c r="DS7" s="156"/>
      <c r="DT7" s="156"/>
      <c r="DU7" s="156"/>
      <c r="DV7" s="156"/>
      <c r="DW7" s="156"/>
      <c r="DX7" s="156"/>
      <c r="DY7" s="156"/>
      <c r="DZ7" s="156"/>
      <c r="EA7" s="156"/>
      <c r="EB7" s="156"/>
      <c r="EC7" s="156"/>
      <c r="ED7" s="157"/>
      <c r="EE7" s="157"/>
      <c r="EF7" s="157"/>
      <c r="EG7" s="157"/>
      <c r="EH7" s="157"/>
      <c r="EI7" s="157"/>
      <c r="EJ7" s="17"/>
    </row>
    <row r="8" spans="1:140" ht="12" customHeight="1">
      <c r="A8" s="141"/>
      <c r="B8" s="141"/>
      <c r="C8" s="141"/>
      <c r="D8" s="159"/>
      <c r="E8" s="159"/>
      <c r="F8" s="141"/>
      <c r="G8" s="141"/>
      <c r="H8" s="141"/>
      <c r="K8" s="15"/>
      <c r="AK8" s="16"/>
      <c r="AT8" s="509"/>
      <c r="AU8" s="510"/>
      <c r="AV8" s="510"/>
      <c r="AW8" s="510"/>
      <c r="AX8" s="511"/>
      <c r="AY8" s="663"/>
      <c r="AZ8" s="664"/>
      <c r="BA8" s="664"/>
      <c r="BB8" s="664"/>
      <c r="BC8" s="664"/>
      <c r="BD8" s="664"/>
      <c r="BE8" s="664"/>
      <c r="BF8" s="664"/>
      <c r="BG8" s="664"/>
      <c r="BH8" s="664"/>
      <c r="BI8" s="664"/>
      <c r="BJ8" s="664"/>
      <c r="BK8" s="665"/>
      <c r="BL8" s="673"/>
      <c r="BM8" s="673"/>
      <c r="BN8" s="673"/>
      <c r="BO8" s="673"/>
      <c r="BP8" s="673"/>
      <c r="BQ8" s="663"/>
      <c r="BR8" s="664"/>
      <c r="BS8" s="664"/>
      <c r="BT8" s="664"/>
      <c r="BU8" s="664"/>
      <c r="BV8" s="664"/>
      <c r="BW8" s="664"/>
      <c r="BX8" s="664"/>
      <c r="BY8" s="664"/>
      <c r="BZ8" s="664"/>
      <c r="CA8" s="664"/>
      <c r="CB8" s="664"/>
      <c r="CC8" s="664"/>
      <c r="CD8" s="665"/>
      <c r="DJ8" s="156"/>
      <c r="DK8" s="156"/>
      <c r="DL8" s="156"/>
      <c r="DM8" s="156"/>
      <c r="DN8" s="156"/>
      <c r="DO8" s="156"/>
      <c r="DP8" s="156"/>
      <c r="DQ8" s="156"/>
      <c r="DR8" s="156"/>
      <c r="DS8" s="156"/>
      <c r="DT8" s="156"/>
      <c r="DU8" s="156"/>
      <c r="DV8" s="156"/>
      <c r="DW8" s="156"/>
      <c r="DX8" s="156"/>
      <c r="DY8" s="156"/>
      <c r="DZ8" s="156"/>
      <c r="EA8" s="156"/>
      <c r="EB8" s="156"/>
      <c r="EC8" s="156"/>
      <c r="ED8" s="157"/>
      <c r="EE8" s="157"/>
      <c r="EF8" s="157"/>
      <c r="EG8" s="157"/>
      <c r="EH8" s="157"/>
      <c r="EI8" s="157"/>
      <c r="EJ8" s="17"/>
    </row>
    <row r="9" spans="1:140" ht="12" customHeight="1">
      <c r="A9" s="141"/>
      <c r="B9" s="141"/>
      <c r="C9" s="141"/>
      <c r="D9" s="159"/>
      <c r="E9" s="159"/>
      <c r="F9" s="141"/>
      <c r="G9" s="141"/>
      <c r="H9" s="141"/>
      <c r="K9" s="15"/>
      <c r="AK9" s="16"/>
      <c r="DJ9" s="156"/>
      <c r="DK9" s="156"/>
      <c r="DL9" s="156"/>
      <c r="DM9" s="156"/>
      <c r="DN9" s="156"/>
      <c r="DO9" s="156"/>
      <c r="DP9" s="156"/>
      <c r="DQ9" s="156"/>
      <c r="DR9" s="156"/>
      <c r="DS9" s="156"/>
      <c r="DT9" s="156"/>
      <c r="DU9" s="156"/>
      <c r="DV9" s="156"/>
      <c r="DW9" s="156"/>
      <c r="DX9" s="156"/>
      <c r="DY9" s="156"/>
      <c r="DZ9" s="156"/>
      <c r="EA9" s="156"/>
      <c r="EB9" s="156"/>
      <c r="EC9" s="156"/>
      <c r="ED9" s="157"/>
      <c r="EE9" s="157"/>
      <c r="EF9" s="157"/>
      <c r="EG9" s="157"/>
      <c r="EH9" s="157"/>
      <c r="EI9" s="157"/>
      <c r="EJ9" s="17"/>
    </row>
    <row r="10" spans="1:140" ht="14.25">
      <c r="BM10" s="125"/>
      <c r="BQ10" s="28"/>
      <c r="BR10" s="28"/>
      <c r="BS10" s="28"/>
      <c r="BT10" s="28"/>
      <c r="BU10" s="28"/>
      <c r="BV10" s="28"/>
      <c r="BW10" s="28"/>
      <c r="BX10" s="28"/>
      <c r="BY10" s="28"/>
      <c r="BZ10" s="28"/>
      <c r="CA10" s="28"/>
      <c r="CB10" s="28"/>
      <c r="CC10" s="28"/>
      <c r="CD10" s="28"/>
      <c r="CE10" s="28"/>
      <c r="CF10" s="28"/>
      <c r="CG10" s="28"/>
      <c r="CH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F10" s="28"/>
      <c r="EG10" s="28"/>
      <c r="EH10" s="28"/>
    </row>
    <row r="11" spans="1:140" ht="14.25">
      <c r="A11" s="19" t="s">
        <v>200</v>
      </c>
    </row>
    <row r="12" spans="1:140" ht="7.5" customHeight="1"/>
    <row r="13" spans="1:140" ht="17.25" customHeight="1">
      <c r="A13" s="158" t="s">
        <v>201</v>
      </c>
    </row>
    <row r="14" spans="1:140" ht="9" customHeight="1">
      <c r="A14" s="19"/>
    </row>
    <row r="15" spans="1:140" ht="17.25">
      <c r="B15" s="19" t="s">
        <v>202</v>
      </c>
      <c r="C15" s="126"/>
      <c r="D15" s="126"/>
      <c r="E15" s="126"/>
      <c r="F15" s="126"/>
      <c r="G15" s="126"/>
      <c r="H15" s="126"/>
      <c r="I15" s="126"/>
      <c r="J15" s="126"/>
      <c r="K15" s="126"/>
      <c r="L15" s="126"/>
      <c r="M15" s="126"/>
      <c r="N15" s="126"/>
      <c r="O15" s="126"/>
      <c r="P15" s="126"/>
      <c r="Q15" s="126"/>
      <c r="R15" s="126"/>
      <c r="S15" s="126"/>
      <c r="T15" s="126"/>
      <c r="U15" s="126"/>
      <c r="V15" s="126"/>
      <c r="W15" s="126"/>
      <c r="X15" s="126"/>
      <c r="AF15" s="78"/>
      <c r="AG15" s="78"/>
      <c r="AH15" s="78"/>
      <c r="AI15" s="19"/>
      <c r="AJ15" s="19"/>
      <c r="AK15" s="19"/>
      <c r="AL15" s="19"/>
      <c r="AM15" s="19"/>
      <c r="AN15" s="19"/>
      <c r="AO15" s="19"/>
      <c r="AP15" s="19"/>
      <c r="AQ15" s="55"/>
      <c r="AR15" s="55"/>
      <c r="AS15" s="19"/>
      <c r="AT15" s="56"/>
      <c r="AU15" s="56"/>
      <c r="AV15" s="56"/>
      <c r="AW15" s="56"/>
      <c r="AX15" s="56"/>
      <c r="AY15" s="56"/>
      <c r="AZ15" s="56"/>
      <c r="BA15" s="56"/>
      <c r="BB15" s="56"/>
      <c r="BC15" s="56"/>
      <c r="BD15" s="56"/>
      <c r="BE15" s="56"/>
      <c r="BF15" s="56"/>
      <c r="BG15" s="56"/>
      <c r="BH15" s="56"/>
      <c r="BI15" s="56"/>
      <c r="BJ15" s="56"/>
      <c r="BK15" s="56"/>
      <c r="BL15" s="56"/>
      <c r="BM15" s="19"/>
      <c r="BN15" s="19"/>
      <c r="BO15" s="19"/>
      <c r="BP15" s="19"/>
      <c r="BQ15" s="19"/>
      <c r="BR15" s="19"/>
      <c r="BS15" s="19"/>
      <c r="BT15" s="19"/>
      <c r="BU15" s="19"/>
      <c r="BV15" s="19"/>
      <c r="BW15" s="19"/>
    </row>
    <row r="16" spans="1:140" ht="8.25" customHeight="1">
      <c r="E16" s="19"/>
      <c r="F16" s="19"/>
      <c r="G16" s="19"/>
      <c r="H16" s="28"/>
      <c r="I16" s="28"/>
      <c r="J16" s="28"/>
      <c r="K16" s="28"/>
      <c r="L16" s="28"/>
      <c r="M16" s="28"/>
      <c r="N16" s="28"/>
      <c r="O16" s="28"/>
      <c r="P16" s="28"/>
      <c r="Q16" s="28"/>
      <c r="R16" s="28"/>
      <c r="S16" s="28"/>
      <c r="T16" s="28"/>
      <c r="U16" s="28"/>
      <c r="V16" s="28"/>
      <c r="W16" s="28"/>
      <c r="X16" s="28"/>
      <c r="Y16" s="28"/>
      <c r="Z16" s="28"/>
      <c r="AA16" s="28"/>
      <c r="AB16" s="28"/>
      <c r="AF16" s="19"/>
      <c r="AG16" s="19"/>
      <c r="AH16" s="19"/>
      <c r="AI16" s="19"/>
      <c r="AJ16" s="19"/>
      <c r="AK16" s="19"/>
      <c r="AL16" s="19"/>
      <c r="AM16" s="19"/>
      <c r="AN16" s="19"/>
      <c r="AO16" s="19"/>
      <c r="AP16" s="19"/>
      <c r="AQ16" s="55"/>
      <c r="AR16" s="55"/>
      <c r="AS16" s="19"/>
      <c r="AT16" s="56"/>
      <c r="AU16" s="56"/>
      <c r="AV16" s="56"/>
      <c r="AW16" s="56"/>
      <c r="AX16" s="56"/>
      <c r="AY16" s="56"/>
      <c r="AZ16" s="56"/>
      <c r="BA16" s="56"/>
      <c r="BB16" s="56"/>
      <c r="BC16" s="56"/>
      <c r="BD16" s="56"/>
      <c r="BE16" s="56"/>
      <c r="BF16" s="56"/>
      <c r="BG16" s="56"/>
      <c r="BH16" s="56"/>
      <c r="BI16" s="56"/>
      <c r="BJ16" s="56"/>
      <c r="BK16" s="56"/>
      <c r="BL16" s="56"/>
      <c r="BM16" s="19"/>
      <c r="BN16" s="19"/>
      <c r="BO16" s="19"/>
      <c r="BP16" s="19"/>
      <c r="BQ16" s="19"/>
      <c r="BR16" s="19"/>
      <c r="BS16" s="19"/>
      <c r="BT16" s="19"/>
      <c r="BU16" s="19"/>
      <c r="BV16" s="19"/>
      <c r="BW16" s="19"/>
    </row>
    <row r="17" spans="1:83" ht="14.25">
      <c r="B17" s="666" t="s">
        <v>203</v>
      </c>
      <c r="C17" s="666"/>
      <c r="D17" s="666"/>
      <c r="E17" s="666"/>
      <c r="F17" s="666"/>
      <c r="G17" s="667"/>
      <c r="H17" s="666" t="s">
        <v>204</v>
      </c>
      <c r="I17" s="666"/>
      <c r="J17" s="666"/>
      <c r="K17" s="666"/>
      <c r="L17" s="666"/>
      <c r="M17" s="666"/>
      <c r="N17" s="666"/>
      <c r="O17" s="666"/>
      <c r="P17" s="666"/>
      <c r="Q17" s="666"/>
      <c r="R17" s="666"/>
      <c r="S17" s="666"/>
      <c r="T17" s="666"/>
      <c r="U17" s="666"/>
      <c r="V17" s="666"/>
      <c r="W17" s="666"/>
      <c r="X17" s="666" t="s">
        <v>205</v>
      </c>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row>
    <row r="18" spans="1:83" ht="12" customHeight="1">
      <c r="B18" s="668"/>
      <c r="C18" s="285"/>
      <c r="D18" s="285"/>
      <c r="E18" s="285"/>
      <c r="F18" s="285"/>
      <c r="G18" s="285"/>
      <c r="H18" s="666" t="s">
        <v>206</v>
      </c>
      <c r="I18" s="666"/>
      <c r="J18" s="666"/>
      <c r="K18" s="666"/>
      <c r="L18" s="666"/>
      <c r="M18" s="666"/>
      <c r="N18" s="666"/>
      <c r="O18" s="666"/>
      <c r="P18" s="666"/>
      <c r="Q18" s="666"/>
      <c r="R18" s="666"/>
      <c r="S18" s="666"/>
      <c r="T18" s="666"/>
      <c r="U18" s="666"/>
      <c r="V18" s="666"/>
      <c r="W18" s="666"/>
      <c r="X18" s="686"/>
      <c r="Y18" s="686"/>
      <c r="Z18" s="686"/>
      <c r="AA18" s="686"/>
      <c r="AB18" s="686"/>
      <c r="AC18" s="686"/>
      <c r="AD18" s="686"/>
      <c r="AE18" s="686"/>
      <c r="AF18" s="686"/>
      <c r="AG18" s="686"/>
      <c r="AH18" s="686"/>
      <c r="AI18" s="686"/>
      <c r="AJ18" s="686"/>
      <c r="AK18" s="686"/>
      <c r="AL18" s="686"/>
      <c r="AM18" s="686"/>
      <c r="AN18" s="686"/>
      <c r="AO18" s="686"/>
      <c r="AP18" s="686"/>
      <c r="AQ18" s="686"/>
      <c r="AR18" s="686"/>
      <c r="AS18" s="686"/>
      <c r="AT18" s="686"/>
      <c r="AU18" s="686"/>
      <c r="AV18" s="686"/>
      <c r="AW18" s="686"/>
      <c r="AX18" s="686"/>
      <c r="AY18" s="686"/>
      <c r="AZ18" s="686"/>
      <c r="BA18" s="686"/>
      <c r="BB18" s="686"/>
      <c r="BC18" s="686"/>
      <c r="BD18" s="686"/>
      <c r="BE18" s="686"/>
      <c r="BF18" s="686"/>
      <c r="BG18" s="686"/>
      <c r="BH18" s="686"/>
      <c r="BI18" s="686"/>
      <c r="BJ18" s="686"/>
      <c r="BK18" s="686"/>
      <c r="BL18" s="686"/>
      <c r="BM18" s="686"/>
      <c r="BN18" s="686"/>
      <c r="BO18" s="686"/>
      <c r="BP18" s="686"/>
      <c r="BQ18" s="686"/>
      <c r="BR18" s="686"/>
      <c r="BS18" s="686"/>
      <c r="BT18" s="686"/>
      <c r="BU18" s="686"/>
      <c r="BV18" s="686"/>
      <c r="BW18" s="686"/>
      <c r="BX18" s="686"/>
      <c r="BY18" s="686"/>
      <c r="BZ18" s="686"/>
      <c r="CA18" s="686"/>
      <c r="CB18" s="686"/>
      <c r="CC18" s="686"/>
      <c r="CD18" s="686"/>
    </row>
    <row r="19" spans="1:83" ht="12" customHeight="1">
      <c r="B19" s="669"/>
      <c r="C19" s="670"/>
      <c r="D19" s="670"/>
      <c r="E19" s="670"/>
      <c r="F19" s="670"/>
      <c r="G19" s="670"/>
      <c r="H19" s="666"/>
      <c r="I19" s="666"/>
      <c r="J19" s="666"/>
      <c r="K19" s="666"/>
      <c r="L19" s="666"/>
      <c r="M19" s="666"/>
      <c r="N19" s="666"/>
      <c r="O19" s="666"/>
      <c r="P19" s="666"/>
      <c r="Q19" s="666"/>
      <c r="R19" s="666"/>
      <c r="S19" s="666"/>
      <c r="T19" s="666"/>
      <c r="U19" s="666"/>
      <c r="V19" s="666"/>
      <c r="W19" s="666"/>
      <c r="X19" s="686"/>
      <c r="Y19" s="686"/>
      <c r="Z19" s="686"/>
      <c r="AA19" s="686"/>
      <c r="AB19" s="686"/>
      <c r="AC19" s="686"/>
      <c r="AD19" s="686"/>
      <c r="AE19" s="686"/>
      <c r="AF19" s="686"/>
      <c r="AG19" s="686"/>
      <c r="AH19" s="686"/>
      <c r="AI19" s="686"/>
      <c r="AJ19" s="686"/>
      <c r="AK19" s="686"/>
      <c r="AL19" s="686"/>
      <c r="AM19" s="686"/>
      <c r="AN19" s="686"/>
      <c r="AO19" s="686"/>
      <c r="AP19" s="686"/>
      <c r="AQ19" s="686"/>
      <c r="AR19" s="686"/>
      <c r="AS19" s="686"/>
      <c r="AT19" s="686"/>
      <c r="AU19" s="686"/>
      <c r="AV19" s="686"/>
      <c r="AW19" s="686"/>
      <c r="AX19" s="686"/>
      <c r="AY19" s="686"/>
      <c r="AZ19" s="686"/>
      <c r="BA19" s="686"/>
      <c r="BB19" s="686"/>
      <c r="BC19" s="686"/>
      <c r="BD19" s="686"/>
      <c r="BE19" s="686"/>
      <c r="BF19" s="686"/>
      <c r="BG19" s="686"/>
      <c r="BH19" s="686"/>
      <c r="BI19" s="686"/>
      <c r="BJ19" s="686"/>
      <c r="BK19" s="686"/>
      <c r="BL19" s="686"/>
      <c r="BM19" s="686"/>
      <c r="BN19" s="686"/>
      <c r="BO19" s="686"/>
      <c r="BP19" s="686"/>
      <c r="BQ19" s="686"/>
      <c r="BR19" s="686"/>
      <c r="BS19" s="686"/>
      <c r="BT19" s="686"/>
      <c r="BU19" s="686"/>
      <c r="BV19" s="686"/>
      <c r="BW19" s="686"/>
      <c r="BX19" s="686"/>
      <c r="BY19" s="686"/>
      <c r="BZ19" s="686"/>
      <c r="CA19" s="686"/>
      <c r="CB19" s="686"/>
      <c r="CC19" s="686"/>
      <c r="CD19" s="686"/>
    </row>
    <row r="20" spans="1:83" ht="12" customHeight="1">
      <c r="B20" s="668"/>
      <c r="C20" s="285"/>
      <c r="D20" s="285"/>
      <c r="E20" s="285"/>
      <c r="F20" s="285"/>
      <c r="G20" s="285"/>
      <c r="H20" s="687" t="s">
        <v>207</v>
      </c>
      <c r="I20" s="688"/>
      <c r="J20" s="688"/>
      <c r="K20" s="688"/>
      <c r="L20" s="688"/>
      <c r="M20" s="688"/>
      <c r="N20" s="688"/>
      <c r="O20" s="688"/>
      <c r="P20" s="688"/>
      <c r="Q20" s="688"/>
      <c r="R20" s="688"/>
      <c r="S20" s="688"/>
      <c r="T20" s="688"/>
      <c r="U20" s="688"/>
      <c r="V20" s="688"/>
      <c r="W20" s="689"/>
      <c r="X20" s="686"/>
      <c r="Y20" s="686"/>
      <c r="Z20" s="686"/>
      <c r="AA20" s="686"/>
      <c r="AB20" s="686"/>
      <c r="AC20" s="686"/>
      <c r="AD20" s="686"/>
      <c r="AE20" s="686"/>
      <c r="AF20" s="686"/>
      <c r="AG20" s="686"/>
      <c r="AH20" s="686"/>
      <c r="AI20" s="686"/>
      <c r="AJ20" s="686"/>
      <c r="AK20" s="686"/>
      <c r="AL20" s="686"/>
      <c r="AM20" s="686"/>
      <c r="AN20" s="686"/>
      <c r="AO20" s="686"/>
      <c r="AP20" s="686"/>
      <c r="AQ20" s="686"/>
      <c r="AR20" s="686"/>
      <c r="AS20" s="686"/>
      <c r="AT20" s="686"/>
      <c r="AU20" s="686"/>
      <c r="AV20" s="686"/>
      <c r="AW20" s="686"/>
      <c r="AX20" s="686"/>
      <c r="AY20" s="686"/>
      <c r="AZ20" s="686"/>
      <c r="BA20" s="686"/>
      <c r="BB20" s="686"/>
      <c r="BC20" s="686"/>
      <c r="BD20" s="686"/>
      <c r="BE20" s="686"/>
      <c r="BF20" s="686"/>
      <c r="BG20" s="686"/>
      <c r="BH20" s="686"/>
      <c r="BI20" s="686"/>
      <c r="BJ20" s="686"/>
      <c r="BK20" s="686"/>
      <c r="BL20" s="686"/>
      <c r="BM20" s="686"/>
      <c r="BN20" s="686"/>
      <c r="BO20" s="686"/>
      <c r="BP20" s="686"/>
      <c r="BQ20" s="686"/>
      <c r="BR20" s="686"/>
      <c r="BS20" s="686"/>
      <c r="BT20" s="686"/>
      <c r="BU20" s="686"/>
      <c r="BV20" s="686"/>
      <c r="BW20" s="686"/>
      <c r="BX20" s="686"/>
      <c r="BY20" s="686"/>
      <c r="BZ20" s="686"/>
      <c r="CA20" s="686"/>
      <c r="CB20" s="686"/>
      <c r="CC20" s="686"/>
      <c r="CD20" s="686"/>
    </row>
    <row r="21" spans="1:83" ht="12" customHeight="1">
      <c r="B21" s="669"/>
      <c r="C21" s="670"/>
      <c r="D21" s="670"/>
      <c r="E21" s="670"/>
      <c r="F21" s="670"/>
      <c r="G21" s="670"/>
      <c r="H21" s="690"/>
      <c r="I21" s="691"/>
      <c r="J21" s="691"/>
      <c r="K21" s="691"/>
      <c r="L21" s="691"/>
      <c r="M21" s="691"/>
      <c r="N21" s="691"/>
      <c r="O21" s="691"/>
      <c r="P21" s="691"/>
      <c r="Q21" s="691"/>
      <c r="R21" s="691"/>
      <c r="S21" s="691"/>
      <c r="T21" s="691"/>
      <c r="U21" s="691"/>
      <c r="V21" s="691"/>
      <c r="W21" s="692"/>
      <c r="X21" s="686"/>
      <c r="Y21" s="686"/>
      <c r="Z21" s="686"/>
      <c r="AA21" s="686"/>
      <c r="AB21" s="686"/>
      <c r="AC21" s="686"/>
      <c r="AD21" s="686"/>
      <c r="AE21" s="686"/>
      <c r="AF21" s="686"/>
      <c r="AG21" s="686"/>
      <c r="AH21" s="686"/>
      <c r="AI21" s="686"/>
      <c r="AJ21" s="686"/>
      <c r="AK21" s="686"/>
      <c r="AL21" s="686"/>
      <c r="AM21" s="686"/>
      <c r="AN21" s="686"/>
      <c r="AO21" s="686"/>
      <c r="AP21" s="686"/>
      <c r="AQ21" s="686"/>
      <c r="AR21" s="686"/>
      <c r="AS21" s="686"/>
      <c r="AT21" s="686"/>
      <c r="AU21" s="686"/>
      <c r="AV21" s="686"/>
      <c r="AW21" s="686"/>
      <c r="AX21" s="686"/>
      <c r="AY21" s="686"/>
      <c r="AZ21" s="686"/>
      <c r="BA21" s="686"/>
      <c r="BB21" s="686"/>
      <c r="BC21" s="686"/>
      <c r="BD21" s="686"/>
      <c r="BE21" s="686"/>
      <c r="BF21" s="686"/>
      <c r="BG21" s="686"/>
      <c r="BH21" s="686"/>
      <c r="BI21" s="686"/>
      <c r="BJ21" s="686"/>
      <c r="BK21" s="686"/>
      <c r="BL21" s="686"/>
      <c r="BM21" s="686"/>
      <c r="BN21" s="686"/>
      <c r="BO21" s="686"/>
      <c r="BP21" s="686"/>
      <c r="BQ21" s="686"/>
      <c r="BR21" s="686"/>
      <c r="BS21" s="686"/>
      <c r="BT21" s="686"/>
      <c r="BU21" s="686"/>
      <c r="BV21" s="686"/>
      <c r="BW21" s="686"/>
      <c r="BX21" s="686"/>
      <c r="BY21" s="686"/>
      <c r="BZ21" s="686"/>
      <c r="CA21" s="686"/>
      <c r="CB21" s="686"/>
      <c r="CC21" s="686"/>
      <c r="CD21" s="686"/>
    </row>
    <row r="22" spans="1:83" ht="14.25" customHeight="1">
      <c r="B22" s="126"/>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BB22" s="127"/>
      <c r="BC22" s="127"/>
      <c r="BD22" s="127"/>
      <c r="BE22" s="127"/>
      <c r="BF22" s="127"/>
    </row>
    <row r="23" spans="1:83" ht="17.25">
      <c r="B23" s="19" t="s">
        <v>208</v>
      </c>
      <c r="C23" s="126"/>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F23" s="78"/>
      <c r="AG23" s="19"/>
      <c r="AH23" s="78"/>
      <c r="AI23" s="19"/>
      <c r="AJ23" s="19"/>
      <c r="AK23" s="19"/>
      <c r="AL23" s="19"/>
      <c r="AM23" s="19"/>
      <c r="AN23" s="19"/>
      <c r="AO23" s="19"/>
      <c r="AP23" s="19"/>
      <c r="AQ23" s="55"/>
      <c r="AR23" s="55"/>
      <c r="AS23" s="19"/>
      <c r="AT23" s="56"/>
      <c r="AU23" s="56"/>
      <c r="AV23" s="56"/>
      <c r="AW23" s="56"/>
      <c r="AX23" s="56"/>
      <c r="AY23" s="56"/>
      <c r="AZ23" s="56"/>
      <c r="BA23" s="56"/>
      <c r="BB23" s="56"/>
      <c r="BC23" s="56"/>
      <c r="BD23" s="56"/>
      <c r="BE23" s="56"/>
      <c r="BF23" s="56"/>
      <c r="BG23" s="56"/>
      <c r="BH23" s="56"/>
      <c r="BI23" s="56"/>
      <c r="BJ23" s="56"/>
      <c r="BK23" s="56"/>
      <c r="BL23" s="56"/>
      <c r="BM23" s="19"/>
      <c r="BN23" s="19"/>
      <c r="BO23" s="19"/>
      <c r="BP23" s="19"/>
      <c r="BQ23" s="19"/>
      <c r="BR23" s="19"/>
      <c r="BS23" s="19"/>
      <c r="BT23" s="19"/>
      <c r="BU23" s="19"/>
      <c r="BV23" s="19"/>
      <c r="BW23" s="19"/>
    </row>
    <row r="24" spans="1:83" ht="6" customHeight="1">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F24" s="19"/>
      <c r="AG24" s="19"/>
      <c r="AH24" s="19"/>
      <c r="AI24" s="19"/>
      <c r="AJ24" s="19"/>
      <c r="AK24" s="19"/>
      <c r="AL24" s="19"/>
      <c r="AM24" s="19"/>
      <c r="AN24" s="19"/>
      <c r="AO24" s="19"/>
      <c r="AP24" s="19"/>
      <c r="AQ24" s="19"/>
      <c r="AR24" s="19"/>
      <c r="AS24" s="19"/>
      <c r="AT24" s="56"/>
      <c r="AU24" s="56"/>
      <c r="AV24" s="56"/>
      <c r="AW24" s="56"/>
      <c r="AX24" s="56"/>
      <c r="AY24" s="56"/>
      <c r="AZ24" s="56"/>
      <c r="BA24" s="56"/>
      <c r="BB24" s="56"/>
      <c r="BC24" s="56"/>
      <c r="BD24" s="56"/>
      <c r="BE24" s="56"/>
      <c r="BF24" s="56"/>
      <c r="BG24" s="56"/>
      <c r="BH24" s="56"/>
      <c r="BI24" s="56"/>
      <c r="BJ24" s="56"/>
      <c r="BK24" s="56"/>
      <c r="BL24" s="56"/>
      <c r="BM24" s="19"/>
      <c r="BN24" s="19"/>
      <c r="BO24" s="19"/>
      <c r="BP24" s="19"/>
      <c r="BQ24" s="19"/>
      <c r="BR24" s="19"/>
      <c r="BS24" s="19"/>
      <c r="BT24" s="19"/>
      <c r="BU24" s="19"/>
      <c r="BV24" s="19"/>
      <c r="BW24" s="19"/>
    </row>
    <row r="25" spans="1:83" ht="14.25">
      <c r="B25" s="667" t="s">
        <v>203</v>
      </c>
      <c r="C25" s="693"/>
      <c r="D25" s="693"/>
      <c r="E25" s="693"/>
      <c r="F25" s="693"/>
      <c r="G25" s="694"/>
      <c r="H25" s="666" t="s">
        <v>209</v>
      </c>
      <c r="I25" s="666"/>
      <c r="J25" s="666"/>
      <c r="K25" s="666"/>
      <c r="L25" s="666"/>
      <c r="M25" s="666"/>
      <c r="N25" s="666"/>
      <c r="O25" s="666"/>
      <c r="P25" s="666"/>
      <c r="Q25" s="666"/>
      <c r="R25" s="666"/>
      <c r="S25" s="666"/>
      <c r="T25" s="666"/>
      <c r="U25" s="666"/>
      <c r="V25" s="666"/>
      <c r="W25" s="666"/>
      <c r="X25" s="666" t="s">
        <v>210</v>
      </c>
      <c r="Y25" s="666"/>
      <c r="Z25" s="666"/>
      <c r="AA25" s="666"/>
      <c r="AB25" s="666"/>
      <c r="AC25" s="666"/>
      <c r="AD25" s="666"/>
      <c r="AE25" s="666"/>
      <c r="AF25" s="666"/>
      <c r="AG25" s="666"/>
      <c r="AH25" s="666"/>
      <c r="AI25" s="666"/>
      <c r="AJ25" s="666"/>
      <c r="AK25" s="666"/>
      <c r="AL25" s="666"/>
      <c r="AM25" s="666"/>
      <c r="AN25" s="666"/>
      <c r="AO25" s="666"/>
      <c r="AP25" s="666"/>
      <c r="AQ25" s="666"/>
      <c r="AR25" s="666"/>
      <c r="AS25" s="666"/>
      <c r="AT25" s="666"/>
      <c r="AU25" s="666"/>
      <c r="AV25" s="666"/>
      <c r="AW25" s="666"/>
      <c r="AX25" s="666"/>
      <c r="AY25" s="666"/>
      <c r="AZ25" s="666"/>
      <c r="BA25" s="666"/>
      <c r="BB25" s="666"/>
      <c r="BC25" s="666"/>
      <c r="BD25" s="666"/>
      <c r="BE25" s="666"/>
      <c r="BF25" s="666"/>
      <c r="BG25" s="666"/>
      <c r="BH25" s="666"/>
      <c r="BI25" s="666"/>
      <c r="BJ25" s="666"/>
      <c r="BK25" s="666"/>
      <c r="BL25" s="666"/>
      <c r="BM25" s="666"/>
      <c r="BN25" s="666"/>
      <c r="BO25" s="666"/>
      <c r="BP25" s="666"/>
      <c r="BQ25" s="666"/>
      <c r="BR25" s="666"/>
      <c r="BS25" s="666"/>
      <c r="BT25" s="666"/>
      <c r="BU25" s="666"/>
      <c r="BV25" s="666"/>
      <c r="BW25" s="666"/>
      <c r="BX25" s="666"/>
      <c r="BY25" s="666"/>
      <c r="BZ25" s="666"/>
      <c r="CA25" s="666"/>
      <c r="CB25" s="666"/>
      <c r="CC25" s="666"/>
      <c r="CD25" s="666"/>
    </row>
    <row r="26" spans="1:83" ht="20.100000000000001" customHeight="1">
      <c r="B26" s="695"/>
      <c r="C26" s="696"/>
      <c r="D26" s="696"/>
      <c r="E26" s="696"/>
      <c r="F26" s="696"/>
      <c r="G26" s="697"/>
      <c r="H26" s="667" t="s">
        <v>211</v>
      </c>
      <c r="I26" s="693"/>
      <c r="J26" s="693"/>
      <c r="K26" s="693"/>
      <c r="L26" s="693"/>
      <c r="M26" s="693"/>
      <c r="N26" s="693"/>
      <c r="O26" s="693"/>
      <c r="P26" s="693"/>
      <c r="Q26" s="693"/>
      <c r="R26" s="693"/>
      <c r="S26" s="693"/>
      <c r="T26" s="693"/>
      <c r="U26" s="693"/>
      <c r="V26" s="693"/>
      <c r="W26" s="694"/>
      <c r="X26" s="686"/>
      <c r="Y26" s="686"/>
      <c r="Z26" s="686"/>
      <c r="AA26" s="686"/>
      <c r="AB26" s="686"/>
      <c r="AC26" s="686"/>
      <c r="AD26" s="686"/>
      <c r="AE26" s="686"/>
      <c r="AF26" s="686"/>
      <c r="AG26" s="686"/>
      <c r="AH26" s="686"/>
      <c r="AI26" s="686"/>
      <c r="AJ26" s="686"/>
      <c r="AK26" s="686"/>
      <c r="AL26" s="686"/>
      <c r="AM26" s="686"/>
      <c r="AN26" s="686"/>
      <c r="AO26" s="686"/>
      <c r="AP26" s="686"/>
      <c r="AQ26" s="686"/>
      <c r="AR26" s="686"/>
      <c r="AS26" s="686"/>
      <c r="AT26" s="686"/>
      <c r="AU26" s="686"/>
      <c r="AV26" s="686"/>
      <c r="AW26" s="686"/>
      <c r="AX26" s="686"/>
      <c r="AY26" s="686"/>
      <c r="AZ26" s="686"/>
      <c r="BA26" s="686"/>
      <c r="BB26" s="686"/>
      <c r="BC26" s="686"/>
      <c r="BD26" s="686"/>
      <c r="BE26" s="686"/>
      <c r="BF26" s="686"/>
      <c r="BG26" s="686"/>
      <c r="BH26" s="686"/>
      <c r="BI26" s="686"/>
      <c r="BJ26" s="686"/>
      <c r="BK26" s="686"/>
      <c r="BL26" s="686"/>
      <c r="BM26" s="686"/>
      <c r="BN26" s="686"/>
      <c r="BO26" s="686"/>
      <c r="BP26" s="686"/>
      <c r="BQ26" s="686"/>
      <c r="BR26" s="686"/>
      <c r="BS26" s="686"/>
      <c r="BT26" s="686"/>
      <c r="BU26" s="686"/>
      <c r="BV26" s="686"/>
      <c r="BW26" s="686"/>
      <c r="BX26" s="686"/>
      <c r="BY26" s="686"/>
      <c r="BZ26" s="686"/>
      <c r="CA26" s="686"/>
      <c r="CB26" s="686"/>
      <c r="CC26" s="686"/>
      <c r="CD26" s="686"/>
    </row>
    <row r="27" spans="1:83" ht="20.100000000000001" customHeight="1">
      <c r="B27" s="695"/>
      <c r="C27" s="696"/>
      <c r="D27" s="696"/>
      <c r="E27" s="696"/>
      <c r="F27" s="696"/>
      <c r="G27" s="697"/>
      <c r="H27" s="667" t="s">
        <v>212</v>
      </c>
      <c r="I27" s="693"/>
      <c r="J27" s="693"/>
      <c r="K27" s="693"/>
      <c r="L27" s="693"/>
      <c r="M27" s="693"/>
      <c r="N27" s="693"/>
      <c r="O27" s="693"/>
      <c r="P27" s="693"/>
      <c r="Q27" s="693"/>
      <c r="R27" s="693"/>
      <c r="S27" s="693"/>
      <c r="T27" s="693"/>
      <c r="U27" s="693"/>
      <c r="V27" s="693"/>
      <c r="W27" s="694"/>
      <c r="X27" s="686"/>
      <c r="Y27" s="686"/>
      <c r="Z27" s="686"/>
      <c r="AA27" s="686"/>
      <c r="AB27" s="686"/>
      <c r="AC27" s="686"/>
      <c r="AD27" s="686"/>
      <c r="AE27" s="686"/>
      <c r="AF27" s="686"/>
      <c r="AG27" s="686"/>
      <c r="AH27" s="686"/>
      <c r="AI27" s="686"/>
      <c r="AJ27" s="686"/>
      <c r="AK27" s="686"/>
      <c r="AL27" s="686"/>
      <c r="AM27" s="686"/>
      <c r="AN27" s="686"/>
      <c r="AO27" s="686"/>
      <c r="AP27" s="686"/>
      <c r="AQ27" s="686"/>
      <c r="AR27" s="686"/>
      <c r="AS27" s="686"/>
      <c r="AT27" s="686"/>
      <c r="AU27" s="686"/>
      <c r="AV27" s="686"/>
      <c r="AW27" s="686"/>
      <c r="AX27" s="686"/>
      <c r="AY27" s="686"/>
      <c r="AZ27" s="686"/>
      <c r="BA27" s="686"/>
      <c r="BB27" s="686"/>
      <c r="BC27" s="686"/>
      <c r="BD27" s="686"/>
      <c r="BE27" s="686"/>
      <c r="BF27" s="686"/>
      <c r="BG27" s="686"/>
      <c r="BH27" s="686"/>
      <c r="BI27" s="686"/>
      <c r="BJ27" s="686"/>
      <c r="BK27" s="686"/>
      <c r="BL27" s="686"/>
      <c r="BM27" s="686"/>
      <c r="BN27" s="686"/>
      <c r="BO27" s="686"/>
      <c r="BP27" s="686"/>
      <c r="BQ27" s="686"/>
      <c r="BR27" s="686"/>
      <c r="BS27" s="686"/>
      <c r="BT27" s="686"/>
      <c r="BU27" s="686"/>
      <c r="BV27" s="686"/>
      <c r="BW27" s="686"/>
      <c r="BX27" s="686"/>
      <c r="BY27" s="686"/>
      <c r="BZ27" s="686"/>
      <c r="CA27" s="686"/>
      <c r="CB27" s="686"/>
      <c r="CC27" s="686"/>
      <c r="CD27" s="686"/>
    </row>
    <row r="28" spans="1:83" ht="20.100000000000001" customHeight="1">
      <c r="B28" s="695"/>
      <c r="C28" s="696"/>
      <c r="D28" s="696"/>
      <c r="E28" s="696"/>
      <c r="F28" s="696"/>
      <c r="G28" s="697"/>
      <c r="H28" s="667" t="s">
        <v>213</v>
      </c>
      <c r="I28" s="693"/>
      <c r="J28" s="693"/>
      <c r="K28" s="693"/>
      <c r="L28" s="693"/>
      <c r="M28" s="693"/>
      <c r="N28" s="693"/>
      <c r="O28" s="693"/>
      <c r="P28" s="693"/>
      <c r="Q28" s="693"/>
      <c r="R28" s="693"/>
      <c r="S28" s="693"/>
      <c r="T28" s="693"/>
      <c r="U28" s="693"/>
      <c r="V28" s="693"/>
      <c r="W28" s="694"/>
      <c r="X28" s="686"/>
      <c r="Y28" s="686"/>
      <c r="Z28" s="686"/>
      <c r="AA28" s="686"/>
      <c r="AB28" s="686"/>
      <c r="AC28" s="686"/>
      <c r="AD28" s="686"/>
      <c r="AE28" s="686"/>
      <c r="AF28" s="686"/>
      <c r="AG28" s="686"/>
      <c r="AH28" s="686"/>
      <c r="AI28" s="686"/>
      <c r="AJ28" s="686"/>
      <c r="AK28" s="686"/>
      <c r="AL28" s="686"/>
      <c r="AM28" s="686"/>
      <c r="AN28" s="686"/>
      <c r="AO28" s="686"/>
      <c r="AP28" s="686"/>
      <c r="AQ28" s="686"/>
      <c r="AR28" s="686"/>
      <c r="AS28" s="686"/>
      <c r="AT28" s="686"/>
      <c r="AU28" s="686"/>
      <c r="AV28" s="686"/>
      <c r="AW28" s="686"/>
      <c r="AX28" s="686"/>
      <c r="AY28" s="686"/>
      <c r="AZ28" s="686"/>
      <c r="BA28" s="686"/>
      <c r="BB28" s="686"/>
      <c r="BC28" s="686"/>
      <c r="BD28" s="686"/>
      <c r="BE28" s="686"/>
      <c r="BF28" s="686"/>
      <c r="BG28" s="686"/>
      <c r="BH28" s="686"/>
      <c r="BI28" s="686"/>
      <c r="BJ28" s="686"/>
      <c r="BK28" s="686"/>
      <c r="BL28" s="686"/>
      <c r="BM28" s="686"/>
      <c r="BN28" s="686"/>
      <c r="BO28" s="686"/>
      <c r="BP28" s="686"/>
      <c r="BQ28" s="686"/>
      <c r="BR28" s="686"/>
      <c r="BS28" s="686"/>
      <c r="BT28" s="686"/>
      <c r="BU28" s="686"/>
      <c r="BV28" s="686"/>
      <c r="BW28" s="686"/>
      <c r="BX28" s="686"/>
      <c r="BY28" s="686"/>
      <c r="BZ28" s="686"/>
      <c r="CA28" s="686"/>
      <c r="CB28" s="686"/>
      <c r="CC28" s="686"/>
      <c r="CD28" s="686"/>
    </row>
    <row r="30" spans="1:83">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c r="BW30" s="160"/>
      <c r="BX30" s="160"/>
      <c r="BY30" s="160"/>
      <c r="BZ30" s="160"/>
      <c r="CA30" s="160"/>
      <c r="CB30" s="160"/>
      <c r="CC30" s="160"/>
      <c r="CD30" s="160"/>
      <c r="CE30" s="160"/>
    </row>
    <row r="32" spans="1:83" ht="17.25">
      <c r="A32" s="158" t="s">
        <v>214</v>
      </c>
    </row>
    <row r="33" spans="1:82" ht="14.25">
      <c r="A33" s="19"/>
    </row>
    <row r="34" spans="1:82" ht="17.25">
      <c r="B34" s="19" t="s">
        <v>202</v>
      </c>
      <c r="C34" s="126"/>
      <c r="D34" s="126"/>
      <c r="E34" s="126"/>
      <c r="F34" s="126"/>
      <c r="G34" s="126"/>
      <c r="H34" s="126"/>
      <c r="I34" s="126"/>
      <c r="J34" s="126"/>
      <c r="K34" s="126"/>
      <c r="L34" s="126"/>
      <c r="M34" s="126"/>
      <c r="N34" s="126"/>
      <c r="O34" s="126"/>
      <c r="P34" s="126"/>
      <c r="Q34" s="126"/>
      <c r="R34" s="126"/>
      <c r="S34" s="126"/>
      <c r="T34" s="126"/>
      <c r="U34" s="126"/>
      <c r="V34" s="126"/>
      <c r="W34" s="126"/>
      <c r="X34" s="126"/>
      <c r="AF34" s="78"/>
      <c r="AG34" s="78"/>
      <c r="AH34" s="78"/>
      <c r="AI34" s="19"/>
      <c r="AJ34" s="19"/>
      <c r="AK34" s="19"/>
      <c r="AL34" s="19"/>
      <c r="AM34" s="19"/>
      <c r="AN34" s="19"/>
      <c r="AO34" s="19"/>
      <c r="AP34" s="19"/>
      <c r="AQ34" s="55"/>
      <c r="AR34" s="55"/>
      <c r="AS34" s="19"/>
      <c r="AT34" s="56"/>
      <c r="AU34" s="56"/>
      <c r="AV34" s="56"/>
      <c r="AW34" s="56"/>
      <c r="AX34" s="56"/>
      <c r="AY34" s="56"/>
      <c r="AZ34" s="56"/>
      <c r="BA34" s="56"/>
      <c r="BB34" s="56"/>
      <c r="BC34" s="56"/>
      <c r="BD34" s="56"/>
      <c r="BE34" s="56"/>
      <c r="BF34" s="56"/>
      <c r="BG34" s="56"/>
      <c r="BH34" s="56"/>
      <c r="BI34" s="56"/>
      <c r="BJ34" s="56"/>
      <c r="BK34" s="56"/>
      <c r="BL34" s="56"/>
      <c r="BM34" s="19"/>
      <c r="BN34" s="19"/>
      <c r="BO34" s="19"/>
      <c r="BP34" s="19"/>
      <c r="BQ34" s="19"/>
      <c r="BR34" s="19"/>
      <c r="BS34" s="19"/>
      <c r="BT34" s="19"/>
      <c r="BU34" s="19"/>
      <c r="BV34" s="19"/>
      <c r="BW34" s="19"/>
    </row>
    <row r="35" spans="1:82" ht="7.5" customHeight="1">
      <c r="E35" s="19"/>
      <c r="F35" s="19"/>
      <c r="G35" s="19"/>
      <c r="H35" s="28"/>
      <c r="I35" s="28"/>
      <c r="J35" s="28"/>
      <c r="K35" s="28"/>
      <c r="L35" s="28"/>
      <c r="M35" s="28"/>
      <c r="N35" s="28"/>
      <c r="O35" s="28"/>
      <c r="P35" s="28"/>
      <c r="Q35" s="28"/>
      <c r="R35" s="28"/>
      <c r="S35" s="28"/>
      <c r="T35" s="28"/>
      <c r="U35" s="28"/>
      <c r="V35" s="28"/>
      <c r="W35" s="28"/>
      <c r="X35" s="28"/>
      <c r="Y35" s="28"/>
      <c r="Z35" s="28"/>
      <c r="AA35" s="28"/>
      <c r="AB35" s="28"/>
      <c r="AF35" s="19"/>
      <c r="AG35" s="19"/>
      <c r="AH35" s="19"/>
      <c r="AI35" s="19"/>
      <c r="AJ35" s="19"/>
      <c r="AK35" s="19"/>
      <c r="AL35" s="19"/>
      <c r="AM35" s="19"/>
      <c r="AN35" s="19"/>
      <c r="AO35" s="19"/>
      <c r="AP35" s="19"/>
      <c r="AQ35" s="55"/>
      <c r="AR35" s="55"/>
      <c r="AS35" s="19"/>
      <c r="AT35" s="56"/>
      <c r="AU35" s="56"/>
      <c r="AV35" s="56"/>
      <c r="AW35" s="56"/>
      <c r="AX35" s="56"/>
      <c r="AY35" s="56"/>
      <c r="AZ35" s="56"/>
      <c r="BA35" s="56"/>
      <c r="BB35" s="56"/>
      <c r="BC35" s="56"/>
      <c r="BD35" s="56"/>
      <c r="BE35" s="56"/>
      <c r="BF35" s="56"/>
      <c r="BG35" s="56"/>
      <c r="BH35" s="56"/>
      <c r="BI35" s="56"/>
      <c r="BJ35" s="56"/>
      <c r="BK35" s="56"/>
      <c r="BL35" s="56"/>
      <c r="BM35" s="19"/>
      <c r="BN35" s="19"/>
      <c r="BO35" s="19"/>
      <c r="BP35" s="19"/>
      <c r="BQ35" s="19"/>
      <c r="BR35" s="19"/>
      <c r="BS35" s="19"/>
      <c r="BT35" s="19"/>
      <c r="BU35" s="19"/>
      <c r="BV35" s="19"/>
      <c r="BW35" s="19"/>
    </row>
    <row r="36" spans="1:82" ht="14.25">
      <c r="B36" s="666" t="s">
        <v>203</v>
      </c>
      <c r="C36" s="666"/>
      <c r="D36" s="666"/>
      <c r="E36" s="666"/>
      <c r="F36" s="666"/>
      <c r="G36" s="667"/>
      <c r="H36" s="666" t="s">
        <v>204</v>
      </c>
      <c r="I36" s="666"/>
      <c r="J36" s="666"/>
      <c r="K36" s="666"/>
      <c r="L36" s="666"/>
      <c r="M36" s="666"/>
      <c r="N36" s="666"/>
      <c r="O36" s="666"/>
      <c r="P36" s="666"/>
      <c r="Q36" s="666"/>
      <c r="R36" s="666"/>
      <c r="S36" s="666"/>
      <c r="T36" s="666"/>
      <c r="U36" s="666"/>
      <c r="V36" s="666"/>
      <c r="W36" s="666"/>
      <c r="X36" s="666" t="s">
        <v>205</v>
      </c>
      <c r="Y36" s="666"/>
      <c r="Z36" s="666"/>
      <c r="AA36" s="666"/>
      <c r="AB36" s="666"/>
      <c r="AC36" s="666"/>
      <c r="AD36" s="666"/>
      <c r="AE36" s="666"/>
      <c r="AF36" s="666"/>
      <c r="AG36" s="666"/>
      <c r="AH36" s="666"/>
      <c r="AI36" s="666"/>
      <c r="AJ36" s="666"/>
      <c r="AK36" s="666"/>
      <c r="AL36" s="666"/>
      <c r="AM36" s="666"/>
      <c r="AN36" s="666"/>
      <c r="AO36" s="666"/>
      <c r="AP36" s="666"/>
      <c r="AQ36" s="666"/>
      <c r="AR36" s="666"/>
      <c r="AS36" s="666"/>
      <c r="AT36" s="666"/>
      <c r="AU36" s="666"/>
      <c r="AV36" s="666"/>
      <c r="AW36" s="666"/>
      <c r="AX36" s="666"/>
      <c r="AY36" s="666"/>
      <c r="AZ36" s="666"/>
      <c r="BA36" s="666"/>
      <c r="BB36" s="666"/>
      <c r="BC36" s="666"/>
      <c r="BD36" s="666"/>
      <c r="BE36" s="666"/>
      <c r="BF36" s="666"/>
      <c r="BG36" s="666"/>
      <c r="BH36" s="666"/>
      <c r="BI36" s="666"/>
      <c r="BJ36" s="666"/>
      <c r="BK36" s="666"/>
      <c r="BL36" s="666"/>
      <c r="BM36" s="666"/>
      <c r="BN36" s="666"/>
      <c r="BO36" s="666"/>
      <c r="BP36" s="666"/>
      <c r="BQ36" s="666"/>
      <c r="BR36" s="666"/>
      <c r="BS36" s="666"/>
      <c r="BT36" s="666"/>
      <c r="BU36" s="666"/>
      <c r="BV36" s="666"/>
      <c r="BW36" s="666"/>
      <c r="BX36" s="666"/>
      <c r="BY36" s="666"/>
      <c r="BZ36" s="666"/>
      <c r="CA36" s="666"/>
      <c r="CB36" s="666"/>
      <c r="CC36" s="666"/>
      <c r="CD36" s="666"/>
    </row>
    <row r="37" spans="1:82" ht="12" customHeight="1">
      <c r="B37" s="668"/>
      <c r="C37" s="285"/>
      <c r="D37" s="285"/>
      <c r="E37" s="285"/>
      <c r="F37" s="285"/>
      <c r="G37" s="285"/>
      <c r="H37" s="666" t="s">
        <v>206</v>
      </c>
      <c r="I37" s="666"/>
      <c r="J37" s="666"/>
      <c r="K37" s="666"/>
      <c r="L37" s="666"/>
      <c r="M37" s="666"/>
      <c r="N37" s="666"/>
      <c r="O37" s="666"/>
      <c r="P37" s="666"/>
      <c r="Q37" s="666"/>
      <c r="R37" s="666"/>
      <c r="S37" s="666"/>
      <c r="T37" s="666"/>
      <c r="U37" s="666"/>
      <c r="V37" s="666"/>
      <c r="W37" s="666"/>
      <c r="X37" s="686"/>
      <c r="Y37" s="686"/>
      <c r="Z37" s="686"/>
      <c r="AA37" s="686"/>
      <c r="AB37" s="686"/>
      <c r="AC37" s="686"/>
      <c r="AD37" s="686"/>
      <c r="AE37" s="686"/>
      <c r="AF37" s="686"/>
      <c r="AG37" s="686"/>
      <c r="AH37" s="686"/>
      <c r="AI37" s="686"/>
      <c r="AJ37" s="686"/>
      <c r="AK37" s="686"/>
      <c r="AL37" s="686"/>
      <c r="AM37" s="686"/>
      <c r="AN37" s="686"/>
      <c r="AO37" s="686"/>
      <c r="AP37" s="686"/>
      <c r="AQ37" s="686"/>
      <c r="AR37" s="686"/>
      <c r="AS37" s="686"/>
      <c r="AT37" s="686"/>
      <c r="AU37" s="686"/>
      <c r="AV37" s="686"/>
      <c r="AW37" s="686"/>
      <c r="AX37" s="686"/>
      <c r="AY37" s="686"/>
      <c r="AZ37" s="686"/>
      <c r="BA37" s="686"/>
      <c r="BB37" s="686"/>
      <c r="BC37" s="686"/>
      <c r="BD37" s="686"/>
      <c r="BE37" s="686"/>
      <c r="BF37" s="686"/>
      <c r="BG37" s="686"/>
      <c r="BH37" s="686"/>
      <c r="BI37" s="686"/>
      <c r="BJ37" s="686"/>
      <c r="BK37" s="686"/>
      <c r="BL37" s="686"/>
      <c r="BM37" s="686"/>
      <c r="BN37" s="686"/>
      <c r="BO37" s="686"/>
      <c r="BP37" s="686"/>
      <c r="BQ37" s="686"/>
      <c r="BR37" s="686"/>
      <c r="BS37" s="686"/>
      <c r="BT37" s="686"/>
      <c r="BU37" s="686"/>
      <c r="BV37" s="686"/>
      <c r="BW37" s="686"/>
      <c r="BX37" s="686"/>
      <c r="BY37" s="686"/>
      <c r="BZ37" s="686"/>
      <c r="CA37" s="686"/>
      <c r="CB37" s="686"/>
      <c r="CC37" s="686"/>
      <c r="CD37" s="686"/>
    </row>
    <row r="38" spans="1:82" ht="12" customHeight="1">
      <c r="B38" s="669"/>
      <c r="C38" s="670"/>
      <c r="D38" s="670"/>
      <c r="E38" s="670"/>
      <c r="F38" s="670"/>
      <c r="G38" s="670"/>
      <c r="H38" s="666"/>
      <c r="I38" s="666"/>
      <c r="J38" s="666"/>
      <c r="K38" s="666"/>
      <c r="L38" s="666"/>
      <c r="M38" s="666"/>
      <c r="N38" s="666"/>
      <c r="O38" s="666"/>
      <c r="P38" s="666"/>
      <c r="Q38" s="666"/>
      <c r="R38" s="666"/>
      <c r="S38" s="666"/>
      <c r="T38" s="666"/>
      <c r="U38" s="666"/>
      <c r="V38" s="666"/>
      <c r="W38" s="666"/>
      <c r="X38" s="686"/>
      <c r="Y38" s="686"/>
      <c r="Z38" s="686"/>
      <c r="AA38" s="686"/>
      <c r="AB38" s="686"/>
      <c r="AC38" s="686"/>
      <c r="AD38" s="686"/>
      <c r="AE38" s="686"/>
      <c r="AF38" s="686"/>
      <c r="AG38" s="686"/>
      <c r="AH38" s="686"/>
      <c r="AI38" s="686"/>
      <c r="AJ38" s="686"/>
      <c r="AK38" s="686"/>
      <c r="AL38" s="686"/>
      <c r="AM38" s="686"/>
      <c r="AN38" s="686"/>
      <c r="AO38" s="686"/>
      <c r="AP38" s="686"/>
      <c r="AQ38" s="686"/>
      <c r="AR38" s="686"/>
      <c r="AS38" s="686"/>
      <c r="AT38" s="686"/>
      <c r="AU38" s="686"/>
      <c r="AV38" s="686"/>
      <c r="AW38" s="686"/>
      <c r="AX38" s="686"/>
      <c r="AY38" s="686"/>
      <c r="AZ38" s="686"/>
      <c r="BA38" s="686"/>
      <c r="BB38" s="686"/>
      <c r="BC38" s="686"/>
      <c r="BD38" s="686"/>
      <c r="BE38" s="686"/>
      <c r="BF38" s="686"/>
      <c r="BG38" s="686"/>
      <c r="BH38" s="686"/>
      <c r="BI38" s="686"/>
      <c r="BJ38" s="686"/>
      <c r="BK38" s="686"/>
      <c r="BL38" s="686"/>
      <c r="BM38" s="686"/>
      <c r="BN38" s="686"/>
      <c r="BO38" s="686"/>
      <c r="BP38" s="686"/>
      <c r="BQ38" s="686"/>
      <c r="BR38" s="686"/>
      <c r="BS38" s="686"/>
      <c r="BT38" s="686"/>
      <c r="BU38" s="686"/>
      <c r="BV38" s="686"/>
      <c r="BW38" s="686"/>
      <c r="BX38" s="686"/>
      <c r="BY38" s="686"/>
      <c r="BZ38" s="686"/>
      <c r="CA38" s="686"/>
      <c r="CB38" s="686"/>
      <c r="CC38" s="686"/>
      <c r="CD38" s="686"/>
    </row>
    <row r="39" spans="1:82" ht="12" customHeight="1">
      <c r="B39" s="668"/>
      <c r="C39" s="285"/>
      <c r="D39" s="285"/>
      <c r="E39" s="285"/>
      <c r="F39" s="285"/>
      <c r="G39" s="285"/>
      <c r="H39" s="687" t="s">
        <v>207</v>
      </c>
      <c r="I39" s="688"/>
      <c r="J39" s="688"/>
      <c r="K39" s="688"/>
      <c r="L39" s="688"/>
      <c r="M39" s="688"/>
      <c r="N39" s="688"/>
      <c r="O39" s="688"/>
      <c r="P39" s="688"/>
      <c r="Q39" s="688"/>
      <c r="R39" s="688"/>
      <c r="S39" s="688"/>
      <c r="T39" s="688"/>
      <c r="U39" s="688"/>
      <c r="V39" s="688"/>
      <c r="W39" s="689"/>
      <c r="X39" s="686"/>
      <c r="Y39" s="686"/>
      <c r="Z39" s="686"/>
      <c r="AA39" s="686"/>
      <c r="AB39" s="686"/>
      <c r="AC39" s="686"/>
      <c r="AD39" s="686"/>
      <c r="AE39" s="686"/>
      <c r="AF39" s="686"/>
      <c r="AG39" s="686"/>
      <c r="AH39" s="686"/>
      <c r="AI39" s="686"/>
      <c r="AJ39" s="686"/>
      <c r="AK39" s="686"/>
      <c r="AL39" s="686"/>
      <c r="AM39" s="686"/>
      <c r="AN39" s="686"/>
      <c r="AO39" s="686"/>
      <c r="AP39" s="686"/>
      <c r="AQ39" s="686"/>
      <c r="AR39" s="686"/>
      <c r="AS39" s="686"/>
      <c r="AT39" s="686"/>
      <c r="AU39" s="686"/>
      <c r="AV39" s="686"/>
      <c r="AW39" s="686"/>
      <c r="AX39" s="686"/>
      <c r="AY39" s="686"/>
      <c r="AZ39" s="686"/>
      <c r="BA39" s="686"/>
      <c r="BB39" s="686"/>
      <c r="BC39" s="686"/>
      <c r="BD39" s="686"/>
      <c r="BE39" s="686"/>
      <c r="BF39" s="686"/>
      <c r="BG39" s="686"/>
      <c r="BH39" s="686"/>
      <c r="BI39" s="686"/>
      <c r="BJ39" s="686"/>
      <c r="BK39" s="686"/>
      <c r="BL39" s="686"/>
      <c r="BM39" s="686"/>
      <c r="BN39" s="686"/>
      <c r="BO39" s="686"/>
      <c r="BP39" s="686"/>
      <c r="BQ39" s="686"/>
      <c r="BR39" s="686"/>
      <c r="BS39" s="686"/>
      <c r="BT39" s="686"/>
      <c r="BU39" s="686"/>
      <c r="BV39" s="686"/>
      <c r="BW39" s="686"/>
      <c r="BX39" s="686"/>
      <c r="BY39" s="686"/>
      <c r="BZ39" s="686"/>
      <c r="CA39" s="686"/>
      <c r="CB39" s="686"/>
      <c r="CC39" s="686"/>
      <c r="CD39" s="686"/>
    </row>
    <row r="40" spans="1:82" ht="12" customHeight="1">
      <c r="B40" s="669"/>
      <c r="C40" s="670"/>
      <c r="D40" s="670"/>
      <c r="E40" s="670"/>
      <c r="F40" s="670"/>
      <c r="G40" s="670"/>
      <c r="H40" s="690"/>
      <c r="I40" s="691"/>
      <c r="J40" s="691"/>
      <c r="K40" s="691"/>
      <c r="L40" s="691"/>
      <c r="M40" s="691"/>
      <c r="N40" s="691"/>
      <c r="O40" s="691"/>
      <c r="P40" s="691"/>
      <c r="Q40" s="691"/>
      <c r="R40" s="691"/>
      <c r="S40" s="691"/>
      <c r="T40" s="691"/>
      <c r="U40" s="691"/>
      <c r="V40" s="691"/>
      <c r="W40" s="692"/>
      <c r="X40" s="686"/>
      <c r="Y40" s="686"/>
      <c r="Z40" s="686"/>
      <c r="AA40" s="686"/>
      <c r="AB40" s="686"/>
      <c r="AC40" s="686"/>
      <c r="AD40" s="686"/>
      <c r="AE40" s="686"/>
      <c r="AF40" s="686"/>
      <c r="AG40" s="686"/>
      <c r="AH40" s="686"/>
      <c r="AI40" s="686"/>
      <c r="AJ40" s="686"/>
      <c r="AK40" s="686"/>
      <c r="AL40" s="686"/>
      <c r="AM40" s="686"/>
      <c r="AN40" s="686"/>
      <c r="AO40" s="686"/>
      <c r="AP40" s="686"/>
      <c r="AQ40" s="686"/>
      <c r="AR40" s="686"/>
      <c r="AS40" s="686"/>
      <c r="AT40" s="686"/>
      <c r="AU40" s="686"/>
      <c r="AV40" s="686"/>
      <c r="AW40" s="686"/>
      <c r="AX40" s="686"/>
      <c r="AY40" s="686"/>
      <c r="AZ40" s="686"/>
      <c r="BA40" s="686"/>
      <c r="BB40" s="686"/>
      <c r="BC40" s="686"/>
      <c r="BD40" s="686"/>
      <c r="BE40" s="686"/>
      <c r="BF40" s="686"/>
      <c r="BG40" s="686"/>
      <c r="BH40" s="686"/>
      <c r="BI40" s="686"/>
      <c r="BJ40" s="686"/>
      <c r="BK40" s="686"/>
      <c r="BL40" s="686"/>
      <c r="BM40" s="686"/>
      <c r="BN40" s="686"/>
      <c r="BO40" s="686"/>
      <c r="BP40" s="686"/>
      <c r="BQ40" s="686"/>
      <c r="BR40" s="686"/>
      <c r="BS40" s="686"/>
      <c r="BT40" s="686"/>
      <c r="BU40" s="686"/>
      <c r="BV40" s="686"/>
      <c r="BW40" s="686"/>
      <c r="BX40" s="686"/>
      <c r="BY40" s="686"/>
      <c r="BZ40" s="686"/>
      <c r="CA40" s="686"/>
      <c r="CB40" s="686"/>
      <c r="CC40" s="686"/>
      <c r="CD40" s="686"/>
    </row>
    <row r="41" spans="1:82" ht="21">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BB41" s="127"/>
      <c r="BC41" s="127"/>
      <c r="BD41" s="127"/>
      <c r="BE41" s="127"/>
      <c r="BF41" s="127"/>
    </row>
    <row r="42" spans="1:82" ht="17.25">
      <c r="B42" s="19" t="s">
        <v>208</v>
      </c>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F42" s="78"/>
      <c r="AG42" s="19"/>
      <c r="AH42" s="78"/>
      <c r="AI42" s="19"/>
      <c r="AJ42" s="19"/>
      <c r="AK42" s="19"/>
      <c r="AL42" s="19"/>
      <c r="AM42" s="19"/>
      <c r="AN42" s="19"/>
      <c r="AO42" s="19"/>
      <c r="AP42" s="19"/>
      <c r="AQ42" s="55"/>
      <c r="AR42" s="55"/>
      <c r="AS42" s="19"/>
      <c r="AT42" s="56"/>
      <c r="AU42" s="56"/>
      <c r="AV42" s="56"/>
      <c r="AW42" s="56"/>
      <c r="AX42" s="56"/>
      <c r="AY42" s="56"/>
      <c r="AZ42" s="56"/>
      <c r="BA42" s="56"/>
      <c r="BB42" s="56"/>
      <c r="BC42" s="56"/>
      <c r="BD42" s="56"/>
      <c r="BE42" s="56"/>
      <c r="BF42" s="56"/>
      <c r="BG42" s="56"/>
      <c r="BH42" s="56"/>
      <c r="BI42" s="56"/>
      <c r="BJ42" s="56"/>
      <c r="BK42" s="56"/>
      <c r="BL42" s="56"/>
      <c r="BM42" s="19"/>
      <c r="BN42" s="19"/>
      <c r="BO42" s="19"/>
      <c r="BP42" s="19"/>
      <c r="BQ42" s="19"/>
      <c r="BR42" s="19"/>
      <c r="BS42" s="19"/>
      <c r="BT42" s="19"/>
      <c r="BU42" s="19"/>
      <c r="BV42" s="19"/>
      <c r="BW42" s="19"/>
    </row>
    <row r="43" spans="1:82" ht="7.5" customHeight="1">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F43" s="19"/>
      <c r="AG43" s="19"/>
      <c r="AH43" s="19"/>
      <c r="AI43" s="19"/>
      <c r="AJ43" s="19"/>
      <c r="AK43" s="19"/>
      <c r="AL43" s="19"/>
      <c r="AM43" s="19"/>
      <c r="AN43" s="19"/>
      <c r="AO43" s="19"/>
      <c r="AP43" s="19"/>
      <c r="AQ43" s="19"/>
      <c r="AR43" s="19"/>
      <c r="AS43" s="19"/>
      <c r="AT43" s="56"/>
      <c r="AU43" s="56"/>
      <c r="AV43" s="56"/>
      <c r="AW43" s="56"/>
      <c r="AX43" s="56"/>
      <c r="AY43" s="56"/>
      <c r="AZ43" s="56"/>
      <c r="BA43" s="56"/>
      <c r="BB43" s="56"/>
      <c r="BC43" s="56"/>
      <c r="BD43" s="56"/>
      <c r="BE43" s="56"/>
      <c r="BF43" s="56"/>
      <c r="BG43" s="56"/>
      <c r="BH43" s="56"/>
      <c r="BI43" s="56"/>
      <c r="BJ43" s="56"/>
      <c r="BK43" s="56"/>
      <c r="BL43" s="56"/>
      <c r="BM43" s="19"/>
      <c r="BN43" s="19"/>
      <c r="BO43" s="19"/>
      <c r="BP43" s="19"/>
      <c r="BQ43" s="19"/>
      <c r="BR43" s="19"/>
      <c r="BS43" s="19"/>
      <c r="BT43" s="19"/>
      <c r="BU43" s="19"/>
      <c r="BV43" s="19"/>
      <c r="BW43" s="19"/>
    </row>
    <row r="44" spans="1:82" ht="14.25">
      <c r="B44" s="667" t="s">
        <v>203</v>
      </c>
      <c r="C44" s="693"/>
      <c r="D44" s="693"/>
      <c r="E44" s="693"/>
      <c r="F44" s="693"/>
      <c r="G44" s="694"/>
      <c r="H44" s="666" t="s">
        <v>209</v>
      </c>
      <c r="I44" s="666"/>
      <c r="J44" s="666"/>
      <c r="K44" s="666"/>
      <c r="L44" s="666"/>
      <c r="M44" s="666"/>
      <c r="N44" s="666"/>
      <c r="O44" s="666"/>
      <c r="P44" s="666"/>
      <c r="Q44" s="666"/>
      <c r="R44" s="666"/>
      <c r="S44" s="666"/>
      <c r="T44" s="666"/>
      <c r="U44" s="666"/>
      <c r="V44" s="666"/>
      <c r="W44" s="666"/>
      <c r="X44" s="666" t="s">
        <v>210</v>
      </c>
      <c r="Y44" s="666"/>
      <c r="Z44" s="666"/>
      <c r="AA44" s="666"/>
      <c r="AB44" s="666"/>
      <c r="AC44" s="666"/>
      <c r="AD44" s="666"/>
      <c r="AE44" s="666"/>
      <c r="AF44" s="666"/>
      <c r="AG44" s="666"/>
      <c r="AH44" s="666"/>
      <c r="AI44" s="666"/>
      <c r="AJ44" s="666"/>
      <c r="AK44" s="666"/>
      <c r="AL44" s="666"/>
      <c r="AM44" s="666"/>
      <c r="AN44" s="666"/>
      <c r="AO44" s="666"/>
      <c r="AP44" s="666"/>
      <c r="AQ44" s="666"/>
      <c r="AR44" s="666"/>
      <c r="AS44" s="666"/>
      <c r="AT44" s="666"/>
      <c r="AU44" s="666"/>
      <c r="AV44" s="666"/>
      <c r="AW44" s="666"/>
      <c r="AX44" s="666"/>
      <c r="AY44" s="666"/>
      <c r="AZ44" s="666"/>
      <c r="BA44" s="666"/>
      <c r="BB44" s="666"/>
      <c r="BC44" s="666"/>
      <c r="BD44" s="666"/>
      <c r="BE44" s="666"/>
      <c r="BF44" s="666"/>
      <c r="BG44" s="666"/>
      <c r="BH44" s="666"/>
      <c r="BI44" s="666"/>
      <c r="BJ44" s="666"/>
      <c r="BK44" s="666"/>
      <c r="BL44" s="666"/>
      <c r="BM44" s="666"/>
      <c r="BN44" s="666"/>
      <c r="BO44" s="666"/>
      <c r="BP44" s="666"/>
      <c r="BQ44" s="666"/>
      <c r="BR44" s="666"/>
      <c r="BS44" s="666"/>
      <c r="BT44" s="666"/>
      <c r="BU44" s="666"/>
      <c r="BV44" s="666"/>
      <c r="BW44" s="666"/>
      <c r="BX44" s="666"/>
      <c r="BY44" s="666"/>
      <c r="BZ44" s="666"/>
      <c r="CA44" s="666"/>
      <c r="CB44" s="666"/>
      <c r="CC44" s="666"/>
      <c r="CD44" s="666"/>
    </row>
    <row r="45" spans="1:82" ht="20.100000000000001" customHeight="1">
      <c r="B45" s="695"/>
      <c r="C45" s="696"/>
      <c r="D45" s="696"/>
      <c r="E45" s="696"/>
      <c r="F45" s="696"/>
      <c r="G45" s="697"/>
      <c r="H45" s="667" t="s">
        <v>211</v>
      </c>
      <c r="I45" s="693"/>
      <c r="J45" s="693"/>
      <c r="K45" s="693"/>
      <c r="L45" s="693"/>
      <c r="M45" s="693"/>
      <c r="N45" s="693"/>
      <c r="O45" s="693"/>
      <c r="P45" s="693"/>
      <c r="Q45" s="693"/>
      <c r="R45" s="693"/>
      <c r="S45" s="693"/>
      <c r="T45" s="693"/>
      <c r="U45" s="693"/>
      <c r="V45" s="693"/>
      <c r="W45" s="694"/>
      <c r="X45" s="686"/>
      <c r="Y45" s="686"/>
      <c r="Z45" s="686"/>
      <c r="AA45" s="686"/>
      <c r="AB45" s="686"/>
      <c r="AC45" s="686"/>
      <c r="AD45" s="686"/>
      <c r="AE45" s="686"/>
      <c r="AF45" s="686"/>
      <c r="AG45" s="686"/>
      <c r="AH45" s="686"/>
      <c r="AI45" s="686"/>
      <c r="AJ45" s="686"/>
      <c r="AK45" s="686"/>
      <c r="AL45" s="686"/>
      <c r="AM45" s="686"/>
      <c r="AN45" s="686"/>
      <c r="AO45" s="686"/>
      <c r="AP45" s="686"/>
      <c r="AQ45" s="686"/>
      <c r="AR45" s="686"/>
      <c r="AS45" s="686"/>
      <c r="AT45" s="686"/>
      <c r="AU45" s="686"/>
      <c r="AV45" s="686"/>
      <c r="AW45" s="686"/>
      <c r="AX45" s="686"/>
      <c r="AY45" s="686"/>
      <c r="AZ45" s="686"/>
      <c r="BA45" s="686"/>
      <c r="BB45" s="686"/>
      <c r="BC45" s="686"/>
      <c r="BD45" s="686"/>
      <c r="BE45" s="686"/>
      <c r="BF45" s="686"/>
      <c r="BG45" s="686"/>
      <c r="BH45" s="686"/>
      <c r="BI45" s="686"/>
      <c r="BJ45" s="686"/>
      <c r="BK45" s="686"/>
      <c r="BL45" s="686"/>
      <c r="BM45" s="686"/>
      <c r="BN45" s="686"/>
      <c r="BO45" s="686"/>
      <c r="BP45" s="686"/>
      <c r="BQ45" s="686"/>
      <c r="BR45" s="686"/>
      <c r="BS45" s="686"/>
      <c r="BT45" s="686"/>
      <c r="BU45" s="686"/>
      <c r="BV45" s="686"/>
      <c r="BW45" s="686"/>
      <c r="BX45" s="686"/>
      <c r="BY45" s="686"/>
      <c r="BZ45" s="686"/>
      <c r="CA45" s="686"/>
      <c r="CB45" s="686"/>
      <c r="CC45" s="686"/>
      <c r="CD45" s="686"/>
    </row>
    <row r="46" spans="1:82" ht="20.100000000000001" customHeight="1">
      <c r="B46" s="695"/>
      <c r="C46" s="696"/>
      <c r="D46" s="696"/>
      <c r="E46" s="696"/>
      <c r="F46" s="696"/>
      <c r="G46" s="697"/>
      <c r="H46" s="667" t="s">
        <v>212</v>
      </c>
      <c r="I46" s="693"/>
      <c r="J46" s="693"/>
      <c r="K46" s="693"/>
      <c r="L46" s="693"/>
      <c r="M46" s="693"/>
      <c r="N46" s="693"/>
      <c r="O46" s="693"/>
      <c r="P46" s="693"/>
      <c r="Q46" s="693"/>
      <c r="R46" s="693"/>
      <c r="S46" s="693"/>
      <c r="T46" s="693"/>
      <c r="U46" s="693"/>
      <c r="V46" s="693"/>
      <c r="W46" s="694"/>
      <c r="X46" s="686"/>
      <c r="Y46" s="686"/>
      <c r="Z46" s="686"/>
      <c r="AA46" s="686"/>
      <c r="AB46" s="686"/>
      <c r="AC46" s="686"/>
      <c r="AD46" s="686"/>
      <c r="AE46" s="686"/>
      <c r="AF46" s="686"/>
      <c r="AG46" s="686"/>
      <c r="AH46" s="686"/>
      <c r="AI46" s="686"/>
      <c r="AJ46" s="686"/>
      <c r="AK46" s="686"/>
      <c r="AL46" s="686"/>
      <c r="AM46" s="686"/>
      <c r="AN46" s="686"/>
      <c r="AO46" s="686"/>
      <c r="AP46" s="686"/>
      <c r="AQ46" s="686"/>
      <c r="AR46" s="686"/>
      <c r="AS46" s="686"/>
      <c r="AT46" s="686"/>
      <c r="AU46" s="686"/>
      <c r="AV46" s="686"/>
      <c r="AW46" s="686"/>
      <c r="AX46" s="686"/>
      <c r="AY46" s="686"/>
      <c r="AZ46" s="686"/>
      <c r="BA46" s="686"/>
      <c r="BB46" s="686"/>
      <c r="BC46" s="686"/>
      <c r="BD46" s="686"/>
      <c r="BE46" s="686"/>
      <c r="BF46" s="686"/>
      <c r="BG46" s="686"/>
      <c r="BH46" s="686"/>
      <c r="BI46" s="686"/>
      <c r="BJ46" s="686"/>
      <c r="BK46" s="686"/>
      <c r="BL46" s="686"/>
      <c r="BM46" s="686"/>
      <c r="BN46" s="686"/>
      <c r="BO46" s="686"/>
      <c r="BP46" s="686"/>
      <c r="BQ46" s="686"/>
      <c r="BR46" s="686"/>
      <c r="BS46" s="686"/>
      <c r="BT46" s="686"/>
      <c r="BU46" s="686"/>
      <c r="BV46" s="686"/>
      <c r="BW46" s="686"/>
      <c r="BX46" s="686"/>
      <c r="BY46" s="686"/>
      <c r="BZ46" s="686"/>
      <c r="CA46" s="686"/>
      <c r="CB46" s="686"/>
      <c r="CC46" s="686"/>
      <c r="CD46" s="686"/>
    </row>
    <row r="47" spans="1:82" ht="20.100000000000001" customHeight="1">
      <c r="B47" s="695"/>
      <c r="C47" s="696"/>
      <c r="D47" s="696"/>
      <c r="E47" s="696"/>
      <c r="F47" s="696"/>
      <c r="G47" s="697"/>
      <c r="H47" s="667" t="s">
        <v>213</v>
      </c>
      <c r="I47" s="693"/>
      <c r="J47" s="693"/>
      <c r="K47" s="693"/>
      <c r="L47" s="693"/>
      <c r="M47" s="693"/>
      <c r="N47" s="693"/>
      <c r="O47" s="693"/>
      <c r="P47" s="693"/>
      <c r="Q47" s="693"/>
      <c r="R47" s="693"/>
      <c r="S47" s="693"/>
      <c r="T47" s="693"/>
      <c r="U47" s="693"/>
      <c r="V47" s="693"/>
      <c r="W47" s="694"/>
      <c r="X47" s="686"/>
      <c r="Y47" s="686"/>
      <c r="Z47" s="686"/>
      <c r="AA47" s="686"/>
      <c r="AB47" s="686"/>
      <c r="AC47" s="686"/>
      <c r="AD47" s="686"/>
      <c r="AE47" s="686"/>
      <c r="AF47" s="686"/>
      <c r="AG47" s="686"/>
      <c r="AH47" s="686"/>
      <c r="AI47" s="686"/>
      <c r="AJ47" s="686"/>
      <c r="AK47" s="686"/>
      <c r="AL47" s="686"/>
      <c r="AM47" s="686"/>
      <c r="AN47" s="686"/>
      <c r="AO47" s="686"/>
      <c r="AP47" s="686"/>
      <c r="AQ47" s="686"/>
      <c r="AR47" s="686"/>
      <c r="AS47" s="686"/>
      <c r="AT47" s="686"/>
      <c r="AU47" s="686"/>
      <c r="AV47" s="686"/>
      <c r="AW47" s="686"/>
      <c r="AX47" s="686"/>
      <c r="AY47" s="686"/>
      <c r="AZ47" s="686"/>
      <c r="BA47" s="686"/>
      <c r="BB47" s="686"/>
      <c r="BC47" s="686"/>
      <c r="BD47" s="686"/>
      <c r="BE47" s="686"/>
      <c r="BF47" s="686"/>
      <c r="BG47" s="686"/>
      <c r="BH47" s="686"/>
      <c r="BI47" s="686"/>
      <c r="BJ47" s="686"/>
      <c r="BK47" s="686"/>
      <c r="BL47" s="686"/>
      <c r="BM47" s="686"/>
      <c r="BN47" s="686"/>
      <c r="BO47" s="686"/>
      <c r="BP47" s="686"/>
      <c r="BQ47" s="686"/>
      <c r="BR47" s="686"/>
      <c r="BS47" s="686"/>
      <c r="BT47" s="686"/>
      <c r="BU47" s="686"/>
      <c r="BV47" s="686"/>
      <c r="BW47" s="686"/>
      <c r="BX47" s="686"/>
      <c r="BY47" s="686"/>
      <c r="BZ47" s="686"/>
      <c r="CA47" s="686"/>
      <c r="CB47" s="686"/>
      <c r="CC47" s="686"/>
      <c r="CD47" s="686"/>
    </row>
  </sheetData>
  <sheetProtection selectLockedCells="1"/>
  <mergeCells count="51">
    <mergeCell ref="X26:CD28"/>
    <mergeCell ref="X25:CD25"/>
    <mergeCell ref="B26:G26"/>
    <mergeCell ref="H26:W26"/>
    <mergeCell ref="B27:G27"/>
    <mergeCell ref="H27:W27"/>
    <mergeCell ref="B28:G28"/>
    <mergeCell ref="H28:W28"/>
    <mergeCell ref="X36:CD36"/>
    <mergeCell ref="X37:CD40"/>
    <mergeCell ref="X44:CD44"/>
    <mergeCell ref="X45:CD47"/>
    <mergeCell ref="B47:G47"/>
    <mergeCell ref="H47:W47"/>
    <mergeCell ref="H20:W21"/>
    <mergeCell ref="B25:G25"/>
    <mergeCell ref="H25:W25"/>
    <mergeCell ref="B46:G46"/>
    <mergeCell ref="H46:W46"/>
    <mergeCell ref="B36:G36"/>
    <mergeCell ref="H36:W36"/>
    <mergeCell ref="B37:G38"/>
    <mergeCell ref="H37:W38"/>
    <mergeCell ref="B39:G40"/>
    <mergeCell ref="H39:W40"/>
    <mergeCell ref="B44:G44"/>
    <mergeCell ref="H44:W44"/>
    <mergeCell ref="B45:G45"/>
    <mergeCell ref="H45:W45"/>
    <mergeCell ref="D1:E1"/>
    <mergeCell ref="DJ1:DQ1"/>
    <mergeCell ref="B17:G17"/>
    <mergeCell ref="H17:W17"/>
    <mergeCell ref="B18:G19"/>
    <mergeCell ref="H18:W19"/>
    <mergeCell ref="BL5:BP6"/>
    <mergeCell ref="AT3:AX4"/>
    <mergeCell ref="AY3:CD4"/>
    <mergeCell ref="AT5:AX6"/>
    <mergeCell ref="AY5:BK6"/>
    <mergeCell ref="BL7:BP8"/>
    <mergeCell ref="BQ7:CD8"/>
    <mergeCell ref="X18:CD21"/>
    <mergeCell ref="X17:CD17"/>
    <mergeCell ref="B20:G21"/>
    <mergeCell ref="DR1:DW1"/>
    <mergeCell ref="DX1:EC1"/>
    <mergeCell ref="ED1:EI1"/>
    <mergeCell ref="BQ5:CD6"/>
    <mergeCell ref="AT7:AX8"/>
    <mergeCell ref="AY7:BK8"/>
  </mergeCells>
  <phoneticPr fontId="2"/>
  <dataValidations disablePrompts="1" count="2">
    <dataValidation type="list" allowBlank="1" showInputMessage="1" showErrorMessage="1" sqref="B18:G21 B26:G28 B37:G40 B45:G47" xr:uid="{00000000-0002-0000-0400-000000000000}">
      <formula1>"○,"</formula1>
    </dataValidation>
    <dataValidation type="list" allowBlank="1" showErrorMessage="1" sqref="E16 E35" xr:uid="{00000000-0002-0000-0400-000001000000}">
      <formula1>"○,　"</formula1>
    </dataValidation>
  </dataValidations>
  <printOptions horizontalCentered="1"/>
  <pageMargins left="0.15748031496062992" right="0.15748031496062992" top="0.59055118110236227" bottom="0.59055118110236227" header="0.31496062992125984" footer="0.15748031496062992"/>
  <pageSetup paperSize="9" scale="91" orientation="portrait" r:id="rId1"/>
  <headerFooter alignWithMargins="0">
    <oddHeader>&amp;L【機密Ⅰ】</oddHeader>
    <oddFooter>&amp;LSO-F3071&amp;C&amp;P / &amp;N ページ&amp;RVer.1.3
2024/03/21</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P28"/>
  <sheetViews>
    <sheetView showGridLines="0" view="pageBreakPreview" zoomScaleNormal="100" zoomScaleSheetLayoutView="100" workbookViewId="0">
      <selection sqref="A1:P1"/>
    </sheetView>
  </sheetViews>
  <sheetFormatPr defaultColWidth="2.125" defaultRowHeight="13.5"/>
  <cols>
    <col min="1" max="16384" width="2.125" style="155"/>
  </cols>
  <sheetData>
    <row r="1" spans="1:42" ht="30" customHeight="1">
      <c r="A1" s="726" t="s">
        <v>215</v>
      </c>
      <c r="B1" s="724"/>
      <c r="C1" s="724"/>
      <c r="D1" s="724"/>
      <c r="E1" s="724"/>
      <c r="F1" s="724"/>
      <c r="G1" s="724"/>
      <c r="H1" s="724"/>
      <c r="I1" s="724"/>
      <c r="J1" s="724"/>
      <c r="K1" s="724"/>
      <c r="L1" s="724"/>
      <c r="M1" s="724"/>
      <c r="N1" s="724"/>
      <c r="O1" s="724"/>
      <c r="P1" s="724"/>
      <c r="Q1" s="727" t="s">
        <v>216</v>
      </c>
      <c r="R1" s="727"/>
      <c r="S1" s="727"/>
      <c r="T1" s="728" t="s">
        <v>217</v>
      </c>
      <c r="U1" s="699"/>
      <c r="V1" s="699"/>
      <c r="W1" s="699"/>
      <c r="X1" s="699"/>
      <c r="Y1" s="700"/>
      <c r="Z1" s="705" t="s">
        <v>218</v>
      </c>
      <c r="AA1" s="699"/>
      <c r="AB1" s="699"/>
      <c r="AC1" s="700"/>
      <c r="AD1" s="720">
        <v>45372</v>
      </c>
      <c r="AE1" s="721"/>
      <c r="AF1" s="721"/>
      <c r="AG1" s="721"/>
      <c r="AH1" s="721"/>
      <c r="AI1" s="721"/>
      <c r="AJ1" s="721"/>
      <c r="AK1" s="722"/>
      <c r="AL1" s="724" t="s">
        <v>219</v>
      </c>
      <c r="AM1" s="724"/>
      <c r="AN1" s="723" t="s">
        <v>220</v>
      </c>
      <c r="AO1" s="724"/>
      <c r="AP1" s="724"/>
    </row>
    <row r="3" spans="1:42" ht="21" customHeight="1">
      <c r="A3" s="155" t="s">
        <v>221</v>
      </c>
    </row>
    <row r="4" spans="1:42" ht="21" customHeight="1">
      <c r="A4" s="724" t="s">
        <v>222</v>
      </c>
      <c r="B4" s="724"/>
      <c r="C4" s="724"/>
      <c r="D4" s="724"/>
      <c r="E4" s="724"/>
      <c r="F4" s="725" t="s">
        <v>223</v>
      </c>
      <c r="G4" s="724"/>
      <c r="H4" s="724"/>
      <c r="I4" s="724"/>
      <c r="J4" s="724"/>
      <c r="K4" s="724"/>
      <c r="L4" s="724"/>
      <c r="M4" s="724"/>
      <c r="N4" s="724" t="s">
        <v>224</v>
      </c>
      <c r="O4" s="724"/>
      <c r="P4" s="724"/>
      <c r="Q4" s="724"/>
      <c r="R4" s="724"/>
      <c r="S4" s="724"/>
      <c r="T4" s="724"/>
      <c r="U4" s="724"/>
      <c r="V4" s="724"/>
      <c r="W4" s="724"/>
      <c r="X4" s="724"/>
      <c r="Y4" s="724"/>
      <c r="Z4" s="724"/>
      <c r="AA4" s="724"/>
      <c r="AB4" s="724"/>
      <c r="AC4" s="724"/>
      <c r="AD4" s="724"/>
      <c r="AE4" s="724"/>
      <c r="AF4" s="724"/>
      <c r="AG4" s="724" t="s">
        <v>225</v>
      </c>
      <c r="AH4" s="724"/>
      <c r="AI4" s="724"/>
      <c r="AJ4" s="724"/>
      <c r="AK4" s="724"/>
      <c r="AL4" s="724" t="s">
        <v>226</v>
      </c>
      <c r="AM4" s="724"/>
      <c r="AN4" s="724"/>
      <c r="AO4" s="724"/>
      <c r="AP4" s="724"/>
    </row>
    <row r="5" spans="1:42" ht="21" customHeight="1">
      <c r="A5" s="710">
        <v>1</v>
      </c>
      <c r="B5" s="711"/>
      <c r="C5" s="711"/>
      <c r="D5" s="711"/>
      <c r="E5" s="712"/>
      <c r="F5" s="713" t="s">
        <v>227</v>
      </c>
      <c r="G5" s="714"/>
      <c r="H5" s="714"/>
      <c r="I5" s="714"/>
      <c r="J5" s="714"/>
      <c r="K5" s="714"/>
      <c r="L5" s="714"/>
      <c r="M5" s="715"/>
      <c r="N5" s="716" t="s">
        <v>228</v>
      </c>
      <c r="O5" s="717"/>
      <c r="P5" s="717"/>
      <c r="Q5" s="717"/>
      <c r="R5" s="717"/>
      <c r="S5" s="717"/>
      <c r="T5" s="717"/>
      <c r="U5" s="717"/>
      <c r="V5" s="717"/>
      <c r="W5" s="717"/>
      <c r="X5" s="717"/>
      <c r="Y5" s="717"/>
      <c r="Z5" s="717"/>
      <c r="AA5" s="717"/>
      <c r="AB5" s="717"/>
      <c r="AC5" s="717"/>
      <c r="AD5" s="717"/>
      <c r="AE5" s="717"/>
      <c r="AF5" s="718"/>
      <c r="AG5" s="719" t="s">
        <v>229</v>
      </c>
      <c r="AH5" s="714"/>
      <c r="AI5" s="714"/>
      <c r="AJ5" s="714"/>
      <c r="AK5" s="715"/>
      <c r="AL5" s="719" t="s">
        <v>230</v>
      </c>
      <c r="AM5" s="714"/>
      <c r="AN5" s="714"/>
      <c r="AO5" s="714"/>
      <c r="AP5" s="715"/>
    </row>
    <row r="6" spans="1:42" ht="74.45" customHeight="1">
      <c r="A6" s="698">
        <v>1.1000000000000001</v>
      </c>
      <c r="B6" s="699"/>
      <c r="C6" s="699"/>
      <c r="D6" s="699"/>
      <c r="E6" s="700"/>
      <c r="F6" s="720">
        <v>44267</v>
      </c>
      <c r="G6" s="721"/>
      <c r="H6" s="721"/>
      <c r="I6" s="721"/>
      <c r="J6" s="721"/>
      <c r="K6" s="721"/>
      <c r="L6" s="721"/>
      <c r="M6" s="722"/>
      <c r="N6" s="709" t="s">
        <v>231</v>
      </c>
      <c r="O6" s="703"/>
      <c r="P6" s="703"/>
      <c r="Q6" s="703"/>
      <c r="R6" s="703"/>
      <c r="S6" s="703"/>
      <c r="T6" s="703"/>
      <c r="U6" s="703"/>
      <c r="V6" s="703"/>
      <c r="W6" s="703"/>
      <c r="X6" s="703"/>
      <c r="Y6" s="703"/>
      <c r="Z6" s="703"/>
      <c r="AA6" s="703"/>
      <c r="AB6" s="703"/>
      <c r="AC6" s="703"/>
      <c r="AD6" s="703"/>
      <c r="AE6" s="703"/>
      <c r="AF6" s="704"/>
      <c r="AG6" s="719"/>
      <c r="AH6" s="714"/>
      <c r="AI6" s="714"/>
      <c r="AJ6" s="714"/>
      <c r="AK6" s="715"/>
      <c r="AL6" s="719"/>
      <c r="AM6" s="714"/>
      <c r="AN6" s="714"/>
      <c r="AO6" s="714"/>
      <c r="AP6" s="715"/>
    </row>
    <row r="7" spans="1:42" ht="52.9" customHeight="1">
      <c r="A7" s="698">
        <v>1.2</v>
      </c>
      <c r="B7" s="699"/>
      <c r="C7" s="699"/>
      <c r="D7" s="699"/>
      <c r="E7" s="700"/>
      <c r="F7" s="706">
        <v>44634</v>
      </c>
      <c r="G7" s="707"/>
      <c r="H7" s="707"/>
      <c r="I7" s="707"/>
      <c r="J7" s="707"/>
      <c r="K7" s="707"/>
      <c r="L7" s="707"/>
      <c r="M7" s="708"/>
      <c r="N7" s="709" t="s">
        <v>232</v>
      </c>
      <c r="O7" s="703"/>
      <c r="P7" s="703"/>
      <c r="Q7" s="703"/>
      <c r="R7" s="703"/>
      <c r="S7" s="703"/>
      <c r="T7" s="703"/>
      <c r="U7" s="703"/>
      <c r="V7" s="703"/>
      <c r="W7" s="703"/>
      <c r="X7" s="703"/>
      <c r="Y7" s="703"/>
      <c r="Z7" s="703"/>
      <c r="AA7" s="703"/>
      <c r="AB7" s="703"/>
      <c r="AC7" s="703"/>
      <c r="AD7" s="703"/>
      <c r="AE7" s="703"/>
      <c r="AF7" s="704"/>
      <c r="AG7" s="705"/>
      <c r="AH7" s="699"/>
      <c r="AI7" s="699"/>
      <c r="AJ7" s="699"/>
      <c r="AK7" s="700"/>
      <c r="AL7" s="705"/>
      <c r="AM7" s="699"/>
      <c r="AN7" s="699"/>
      <c r="AO7" s="699"/>
      <c r="AP7" s="700"/>
    </row>
    <row r="8" spans="1:42" ht="84" customHeight="1">
      <c r="A8" s="698">
        <v>1.3</v>
      </c>
      <c r="B8" s="699"/>
      <c r="C8" s="699"/>
      <c r="D8" s="699"/>
      <c r="E8" s="700"/>
      <c r="F8" s="706">
        <v>45372</v>
      </c>
      <c r="G8" s="707"/>
      <c r="H8" s="707"/>
      <c r="I8" s="707"/>
      <c r="J8" s="707"/>
      <c r="K8" s="707"/>
      <c r="L8" s="707"/>
      <c r="M8" s="708"/>
      <c r="N8" s="709" t="s">
        <v>233</v>
      </c>
      <c r="O8" s="703"/>
      <c r="P8" s="703"/>
      <c r="Q8" s="703"/>
      <c r="R8" s="703"/>
      <c r="S8" s="703"/>
      <c r="T8" s="703"/>
      <c r="U8" s="703"/>
      <c r="V8" s="703"/>
      <c r="W8" s="703"/>
      <c r="X8" s="703"/>
      <c r="Y8" s="703"/>
      <c r="Z8" s="703"/>
      <c r="AA8" s="703"/>
      <c r="AB8" s="703"/>
      <c r="AC8" s="703"/>
      <c r="AD8" s="703"/>
      <c r="AE8" s="703"/>
      <c r="AF8" s="704"/>
      <c r="AG8" s="705"/>
      <c r="AH8" s="699"/>
      <c r="AI8" s="699"/>
      <c r="AJ8" s="699"/>
      <c r="AK8" s="700"/>
      <c r="AL8" s="705"/>
      <c r="AM8" s="699"/>
      <c r="AN8" s="699"/>
      <c r="AO8" s="699"/>
      <c r="AP8" s="700"/>
    </row>
    <row r="9" spans="1:42" ht="21" customHeight="1">
      <c r="A9" s="698"/>
      <c r="B9" s="699"/>
      <c r="C9" s="699"/>
      <c r="D9" s="699"/>
      <c r="E9" s="700"/>
      <c r="F9" s="701"/>
      <c r="G9" s="699"/>
      <c r="H9" s="699"/>
      <c r="I9" s="699"/>
      <c r="J9" s="699"/>
      <c r="K9" s="699"/>
      <c r="L9" s="699"/>
      <c r="M9" s="700"/>
      <c r="N9" s="702"/>
      <c r="O9" s="703"/>
      <c r="P9" s="703"/>
      <c r="Q9" s="703"/>
      <c r="R9" s="703"/>
      <c r="S9" s="703"/>
      <c r="T9" s="703"/>
      <c r="U9" s="703"/>
      <c r="V9" s="703"/>
      <c r="W9" s="703"/>
      <c r="X9" s="703"/>
      <c r="Y9" s="703"/>
      <c r="Z9" s="703"/>
      <c r="AA9" s="703"/>
      <c r="AB9" s="703"/>
      <c r="AC9" s="703"/>
      <c r="AD9" s="703"/>
      <c r="AE9" s="703"/>
      <c r="AF9" s="704"/>
      <c r="AG9" s="705"/>
      <c r="AH9" s="699"/>
      <c r="AI9" s="699"/>
      <c r="AJ9" s="699"/>
      <c r="AK9" s="700"/>
      <c r="AL9" s="705"/>
      <c r="AM9" s="699"/>
      <c r="AN9" s="699"/>
      <c r="AO9" s="699"/>
      <c r="AP9" s="700"/>
    </row>
    <row r="10" spans="1:42" ht="21" customHeight="1">
      <c r="A10" s="698"/>
      <c r="B10" s="699"/>
      <c r="C10" s="699"/>
      <c r="D10" s="699"/>
      <c r="E10" s="700"/>
      <c r="F10" s="701"/>
      <c r="G10" s="699"/>
      <c r="H10" s="699"/>
      <c r="I10" s="699"/>
      <c r="J10" s="699"/>
      <c r="K10" s="699"/>
      <c r="L10" s="699"/>
      <c r="M10" s="700"/>
      <c r="N10" s="702"/>
      <c r="O10" s="703"/>
      <c r="P10" s="703"/>
      <c r="Q10" s="703"/>
      <c r="R10" s="703"/>
      <c r="S10" s="703"/>
      <c r="T10" s="703"/>
      <c r="U10" s="703"/>
      <c r="V10" s="703"/>
      <c r="W10" s="703"/>
      <c r="X10" s="703"/>
      <c r="Y10" s="703"/>
      <c r="Z10" s="703"/>
      <c r="AA10" s="703"/>
      <c r="AB10" s="703"/>
      <c r="AC10" s="703"/>
      <c r="AD10" s="703"/>
      <c r="AE10" s="703"/>
      <c r="AF10" s="704"/>
      <c r="AG10" s="705"/>
      <c r="AH10" s="699"/>
      <c r="AI10" s="699"/>
      <c r="AJ10" s="699"/>
      <c r="AK10" s="700"/>
      <c r="AL10" s="705"/>
      <c r="AM10" s="699"/>
      <c r="AN10" s="699"/>
      <c r="AO10" s="699"/>
      <c r="AP10" s="700"/>
    </row>
    <row r="11" spans="1:42" ht="21" customHeight="1">
      <c r="A11" s="698"/>
      <c r="B11" s="699"/>
      <c r="C11" s="699"/>
      <c r="D11" s="699"/>
      <c r="E11" s="700"/>
      <c r="F11" s="701"/>
      <c r="G11" s="699"/>
      <c r="H11" s="699"/>
      <c r="I11" s="699"/>
      <c r="J11" s="699"/>
      <c r="K11" s="699"/>
      <c r="L11" s="699"/>
      <c r="M11" s="700"/>
      <c r="N11" s="702"/>
      <c r="O11" s="703"/>
      <c r="P11" s="703"/>
      <c r="Q11" s="703"/>
      <c r="R11" s="703"/>
      <c r="S11" s="703"/>
      <c r="T11" s="703"/>
      <c r="U11" s="703"/>
      <c r="V11" s="703"/>
      <c r="W11" s="703"/>
      <c r="X11" s="703"/>
      <c r="Y11" s="703"/>
      <c r="Z11" s="703"/>
      <c r="AA11" s="703"/>
      <c r="AB11" s="703"/>
      <c r="AC11" s="703"/>
      <c r="AD11" s="703"/>
      <c r="AE11" s="703"/>
      <c r="AF11" s="704"/>
      <c r="AG11" s="705"/>
      <c r="AH11" s="699"/>
      <c r="AI11" s="699"/>
      <c r="AJ11" s="699"/>
      <c r="AK11" s="700"/>
      <c r="AL11" s="705"/>
      <c r="AM11" s="699"/>
      <c r="AN11" s="699"/>
      <c r="AO11" s="699"/>
      <c r="AP11" s="700"/>
    </row>
    <row r="12" spans="1:42" ht="21" customHeight="1">
      <c r="A12" s="698"/>
      <c r="B12" s="699"/>
      <c r="C12" s="699"/>
      <c r="D12" s="699"/>
      <c r="E12" s="700"/>
      <c r="F12" s="701"/>
      <c r="G12" s="699"/>
      <c r="H12" s="699"/>
      <c r="I12" s="699"/>
      <c r="J12" s="699"/>
      <c r="K12" s="699"/>
      <c r="L12" s="699"/>
      <c r="M12" s="700"/>
      <c r="N12" s="702"/>
      <c r="O12" s="703"/>
      <c r="P12" s="703"/>
      <c r="Q12" s="703"/>
      <c r="R12" s="703"/>
      <c r="S12" s="703"/>
      <c r="T12" s="703"/>
      <c r="U12" s="703"/>
      <c r="V12" s="703"/>
      <c r="W12" s="703"/>
      <c r="X12" s="703"/>
      <c r="Y12" s="703"/>
      <c r="Z12" s="703"/>
      <c r="AA12" s="703"/>
      <c r="AB12" s="703"/>
      <c r="AC12" s="703"/>
      <c r="AD12" s="703"/>
      <c r="AE12" s="703"/>
      <c r="AF12" s="704"/>
      <c r="AG12" s="705"/>
      <c r="AH12" s="699"/>
      <c r="AI12" s="699"/>
      <c r="AJ12" s="699"/>
      <c r="AK12" s="700"/>
      <c r="AL12" s="705"/>
      <c r="AM12" s="699"/>
      <c r="AN12" s="699"/>
      <c r="AO12" s="699"/>
      <c r="AP12" s="700"/>
    </row>
    <row r="13" spans="1:42" ht="21" customHeight="1">
      <c r="A13" s="698"/>
      <c r="B13" s="699"/>
      <c r="C13" s="699"/>
      <c r="D13" s="699"/>
      <c r="E13" s="700"/>
      <c r="F13" s="701"/>
      <c r="G13" s="699"/>
      <c r="H13" s="699"/>
      <c r="I13" s="699"/>
      <c r="J13" s="699"/>
      <c r="K13" s="699"/>
      <c r="L13" s="699"/>
      <c r="M13" s="700"/>
      <c r="N13" s="702"/>
      <c r="O13" s="703"/>
      <c r="P13" s="703"/>
      <c r="Q13" s="703"/>
      <c r="R13" s="703"/>
      <c r="S13" s="703"/>
      <c r="T13" s="703"/>
      <c r="U13" s="703"/>
      <c r="V13" s="703"/>
      <c r="W13" s="703"/>
      <c r="X13" s="703"/>
      <c r="Y13" s="703"/>
      <c r="Z13" s="703"/>
      <c r="AA13" s="703"/>
      <c r="AB13" s="703"/>
      <c r="AC13" s="703"/>
      <c r="AD13" s="703"/>
      <c r="AE13" s="703"/>
      <c r="AF13" s="704"/>
      <c r="AG13" s="705"/>
      <c r="AH13" s="699"/>
      <c r="AI13" s="699"/>
      <c r="AJ13" s="699"/>
      <c r="AK13" s="700"/>
      <c r="AL13" s="705"/>
      <c r="AM13" s="699"/>
      <c r="AN13" s="699"/>
      <c r="AO13" s="699"/>
      <c r="AP13" s="700"/>
    </row>
    <row r="14" spans="1:42" ht="21" customHeight="1">
      <c r="A14" s="698"/>
      <c r="B14" s="699"/>
      <c r="C14" s="699"/>
      <c r="D14" s="699"/>
      <c r="E14" s="700"/>
      <c r="F14" s="701"/>
      <c r="G14" s="699"/>
      <c r="H14" s="699"/>
      <c r="I14" s="699"/>
      <c r="J14" s="699"/>
      <c r="K14" s="699"/>
      <c r="L14" s="699"/>
      <c r="M14" s="700"/>
      <c r="N14" s="702"/>
      <c r="O14" s="703"/>
      <c r="P14" s="703"/>
      <c r="Q14" s="703"/>
      <c r="R14" s="703"/>
      <c r="S14" s="703"/>
      <c r="T14" s="703"/>
      <c r="U14" s="703"/>
      <c r="V14" s="703"/>
      <c r="W14" s="703"/>
      <c r="X14" s="703"/>
      <c r="Y14" s="703"/>
      <c r="Z14" s="703"/>
      <c r="AA14" s="703"/>
      <c r="AB14" s="703"/>
      <c r="AC14" s="703"/>
      <c r="AD14" s="703"/>
      <c r="AE14" s="703"/>
      <c r="AF14" s="704"/>
      <c r="AG14" s="705"/>
      <c r="AH14" s="699"/>
      <c r="AI14" s="699"/>
      <c r="AJ14" s="699"/>
      <c r="AK14" s="700"/>
      <c r="AL14" s="705"/>
      <c r="AM14" s="699"/>
      <c r="AN14" s="699"/>
      <c r="AO14" s="699"/>
      <c r="AP14" s="700"/>
    </row>
    <row r="15" spans="1:42" ht="21" customHeight="1">
      <c r="A15" s="698"/>
      <c r="B15" s="699"/>
      <c r="C15" s="699"/>
      <c r="D15" s="699"/>
      <c r="E15" s="700"/>
      <c r="F15" s="701"/>
      <c r="G15" s="699"/>
      <c r="H15" s="699"/>
      <c r="I15" s="699"/>
      <c r="J15" s="699"/>
      <c r="K15" s="699"/>
      <c r="L15" s="699"/>
      <c r="M15" s="700"/>
      <c r="N15" s="702"/>
      <c r="O15" s="703"/>
      <c r="P15" s="703"/>
      <c r="Q15" s="703"/>
      <c r="R15" s="703"/>
      <c r="S15" s="703"/>
      <c r="T15" s="703"/>
      <c r="U15" s="703"/>
      <c r="V15" s="703"/>
      <c r="W15" s="703"/>
      <c r="X15" s="703"/>
      <c r="Y15" s="703"/>
      <c r="Z15" s="703"/>
      <c r="AA15" s="703"/>
      <c r="AB15" s="703"/>
      <c r="AC15" s="703"/>
      <c r="AD15" s="703"/>
      <c r="AE15" s="703"/>
      <c r="AF15" s="704"/>
      <c r="AG15" s="705"/>
      <c r="AH15" s="699"/>
      <c r="AI15" s="699"/>
      <c r="AJ15" s="699"/>
      <c r="AK15" s="700"/>
      <c r="AL15" s="705"/>
      <c r="AM15" s="699"/>
      <c r="AN15" s="699"/>
      <c r="AO15" s="699"/>
      <c r="AP15" s="700"/>
    </row>
    <row r="16" spans="1:42" ht="21" customHeight="1">
      <c r="A16" s="698"/>
      <c r="B16" s="699"/>
      <c r="C16" s="699"/>
      <c r="D16" s="699"/>
      <c r="E16" s="700"/>
      <c r="F16" s="701"/>
      <c r="G16" s="699"/>
      <c r="H16" s="699"/>
      <c r="I16" s="699"/>
      <c r="J16" s="699"/>
      <c r="K16" s="699"/>
      <c r="L16" s="699"/>
      <c r="M16" s="700"/>
      <c r="N16" s="702"/>
      <c r="O16" s="703"/>
      <c r="P16" s="703"/>
      <c r="Q16" s="703"/>
      <c r="R16" s="703"/>
      <c r="S16" s="703"/>
      <c r="T16" s="703"/>
      <c r="U16" s="703"/>
      <c r="V16" s="703"/>
      <c r="W16" s="703"/>
      <c r="X16" s="703"/>
      <c r="Y16" s="703"/>
      <c r="Z16" s="703"/>
      <c r="AA16" s="703"/>
      <c r="AB16" s="703"/>
      <c r="AC16" s="703"/>
      <c r="AD16" s="703"/>
      <c r="AE16" s="703"/>
      <c r="AF16" s="704"/>
      <c r="AG16" s="705"/>
      <c r="AH16" s="699"/>
      <c r="AI16" s="699"/>
      <c r="AJ16" s="699"/>
      <c r="AK16" s="700"/>
      <c r="AL16" s="705"/>
      <c r="AM16" s="699"/>
      <c r="AN16" s="699"/>
      <c r="AO16" s="699"/>
      <c r="AP16" s="700"/>
    </row>
    <row r="17" spans="1:42" ht="21" customHeight="1">
      <c r="A17" s="698"/>
      <c r="B17" s="699"/>
      <c r="C17" s="699"/>
      <c r="D17" s="699"/>
      <c r="E17" s="700"/>
      <c r="F17" s="701"/>
      <c r="G17" s="699"/>
      <c r="H17" s="699"/>
      <c r="I17" s="699"/>
      <c r="J17" s="699"/>
      <c r="K17" s="699"/>
      <c r="L17" s="699"/>
      <c r="M17" s="700"/>
      <c r="N17" s="702"/>
      <c r="O17" s="703"/>
      <c r="P17" s="703"/>
      <c r="Q17" s="703"/>
      <c r="R17" s="703"/>
      <c r="S17" s="703"/>
      <c r="T17" s="703"/>
      <c r="U17" s="703"/>
      <c r="V17" s="703"/>
      <c r="W17" s="703"/>
      <c r="X17" s="703"/>
      <c r="Y17" s="703"/>
      <c r="Z17" s="703"/>
      <c r="AA17" s="703"/>
      <c r="AB17" s="703"/>
      <c r="AC17" s="703"/>
      <c r="AD17" s="703"/>
      <c r="AE17" s="703"/>
      <c r="AF17" s="704"/>
      <c r="AG17" s="705"/>
      <c r="AH17" s="699"/>
      <c r="AI17" s="699"/>
      <c r="AJ17" s="699"/>
      <c r="AK17" s="700"/>
      <c r="AL17" s="705"/>
      <c r="AM17" s="699"/>
      <c r="AN17" s="699"/>
      <c r="AO17" s="699"/>
      <c r="AP17" s="700"/>
    </row>
    <row r="18" spans="1:42" ht="21" customHeight="1">
      <c r="A18" s="698"/>
      <c r="B18" s="699"/>
      <c r="C18" s="699"/>
      <c r="D18" s="699"/>
      <c r="E18" s="700"/>
      <c r="F18" s="701"/>
      <c r="G18" s="699"/>
      <c r="H18" s="699"/>
      <c r="I18" s="699"/>
      <c r="J18" s="699"/>
      <c r="K18" s="699"/>
      <c r="L18" s="699"/>
      <c r="M18" s="700"/>
      <c r="N18" s="702"/>
      <c r="O18" s="703"/>
      <c r="P18" s="703"/>
      <c r="Q18" s="703"/>
      <c r="R18" s="703"/>
      <c r="S18" s="703"/>
      <c r="T18" s="703"/>
      <c r="U18" s="703"/>
      <c r="V18" s="703"/>
      <c r="W18" s="703"/>
      <c r="X18" s="703"/>
      <c r="Y18" s="703"/>
      <c r="Z18" s="703"/>
      <c r="AA18" s="703"/>
      <c r="AB18" s="703"/>
      <c r="AC18" s="703"/>
      <c r="AD18" s="703"/>
      <c r="AE18" s="703"/>
      <c r="AF18" s="704"/>
      <c r="AG18" s="705"/>
      <c r="AH18" s="699"/>
      <c r="AI18" s="699"/>
      <c r="AJ18" s="699"/>
      <c r="AK18" s="700"/>
      <c r="AL18" s="705"/>
      <c r="AM18" s="699"/>
      <c r="AN18" s="699"/>
      <c r="AO18" s="699"/>
      <c r="AP18" s="700"/>
    </row>
    <row r="19" spans="1:42" ht="21" customHeight="1">
      <c r="A19" s="698"/>
      <c r="B19" s="699"/>
      <c r="C19" s="699"/>
      <c r="D19" s="699"/>
      <c r="E19" s="700"/>
      <c r="F19" s="701"/>
      <c r="G19" s="699"/>
      <c r="H19" s="699"/>
      <c r="I19" s="699"/>
      <c r="J19" s="699"/>
      <c r="K19" s="699"/>
      <c r="L19" s="699"/>
      <c r="M19" s="700"/>
      <c r="N19" s="702"/>
      <c r="O19" s="703"/>
      <c r="P19" s="703"/>
      <c r="Q19" s="703"/>
      <c r="R19" s="703"/>
      <c r="S19" s="703"/>
      <c r="T19" s="703"/>
      <c r="U19" s="703"/>
      <c r="V19" s="703"/>
      <c r="W19" s="703"/>
      <c r="X19" s="703"/>
      <c r="Y19" s="703"/>
      <c r="Z19" s="703"/>
      <c r="AA19" s="703"/>
      <c r="AB19" s="703"/>
      <c r="AC19" s="703"/>
      <c r="AD19" s="703"/>
      <c r="AE19" s="703"/>
      <c r="AF19" s="704"/>
      <c r="AG19" s="705"/>
      <c r="AH19" s="699"/>
      <c r="AI19" s="699"/>
      <c r="AJ19" s="699"/>
      <c r="AK19" s="700"/>
      <c r="AL19" s="705"/>
      <c r="AM19" s="699"/>
      <c r="AN19" s="699"/>
      <c r="AO19" s="699"/>
      <c r="AP19" s="700"/>
    </row>
    <row r="20" spans="1:42" ht="21" customHeight="1">
      <c r="A20" s="698"/>
      <c r="B20" s="699"/>
      <c r="C20" s="699"/>
      <c r="D20" s="699"/>
      <c r="E20" s="700"/>
      <c r="F20" s="701"/>
      <c r="G20" s="699"/>
      <c r="H20" s="699"/>
      <c r="I20" s="699"/>
      <c r="J20" s="699"/>
      <c r="K20" s="699"/>
      <c r="L20" s="699"/>
      <c r="M20" s="700"/>
      <c r="N20" s="702"/>
      <c r="O20" s="703"/>
      <c r="P20" s="703"/>
      <c r="Q20" s="703"/>
      <c r="R20" s="703"/>
      <c r="S20" s="703"/>
      <c r="T20" s="703"/>
      <c r="U20" s="703"/>
      <c r="V20" s="703"/>
      <c r="W20" s="703"/>
      <c r="X20" s="703"/>
      <c r="Y20" s="703"/>
      <c r="Z20" s="703"/>
      <c r="AA20" s="703"/>
      <c r="AB20" s="703"/>
      <c r="AC20" s="703"/>
      <c r="AD20" s="703"/>
      <c r="AE20" s="703"/>
      <c r="AF20" s="704"/>
      <c r="AG20" s="705"/>
      <c r="AH20" s="699"/>
      <c r="AI20" s="699"/>
      <c r="AJ20" s="699"/>
      <c r="AK20" s="700"/>
      <c r="AL20" s="705"/>
      <c r="AM20" s="699"/>
      <c r="AN20" s="699"/>
      <c r="AO20" s="699"/>
      <c r="AP20" s="700"/>
    </row>
    <row r="21" spans="1:42" ht="21" customHeight="1">
      <c r="A21" s="698"/>
      <c r="B21" s="699"/>
      <c r="C21" s="699"/>
      <c r="D21" s="699"/>
      <c r="E21" s="700"/>
      <c r="F21" s="701"/>
      <c r="G21" s="699"/>
      <c r="H21" s="699"/>
      <c r="I21" s="699"/>
      <c r="J21" s="699"/>
      <c r="K21" s="699"/>
      <c r="L21" s="699"/>
      <c r="M21" s="700"/>
      <c r="N21" s="702"/>
      <c r="O21" s="703"/>
      <c r="P21" s="703"/>
      <c r="Q21" s="703"/>
      <c r="R21" s="703"/>
      <c r="S21" s="703"/>
      <c r="T21" s="703"/>
      <c r="U21" s="703"/>
      <c r="V21" s="703"/>
      <c r="W21" s="703"/>
      <c r="X21" s="703"/>
      <c r="Y21" s="703"/>
      <c r="Z21" s="703"/>
      <c r="AA21" s="703"/>
      <c r="AB21" s="703"/>
      <c r="AC21" s="703"/>
      <c r="AD21" s="703"/>
      <c r="AE21" s="703"/>
      <c r="AF21" s="704"/>
      <c r="AG21" s="705"/>
      <c r="AH21" s="699"/>
      <c r="AI21" s="699"/>
      <c r="AJ21" s="699"/>
      <c r="AK21" s="700"/>
      <c r="AL21" s="705"/>
      <c r="AM21" s="699"/>
      <c r="AN21" s="699"/>
      <c r="AO21" s="699"/>
      <c r="AP21" s="700"/>
    </row>
    <row r="22" spans="1:42" ht="21" customHeight="1">
      <c r="A22" s="698"/>
      <c r="B22" s="699"/>
      <c r="C22" s="699"/>
      <c r="D22" s="699"/>
      <c r="E22" s="700"/>
      <c r="F22" s="701"/>
      <c r="G22" s="699"/>
      <c r="H22" s="699"/>
      <c r="I22" s="699"/>
      <c r="J22" s="699"/>
      <c r="K22" s="699"/>
      <c r="L22" s="699"/>
      <c r="M22" s="700"/>
      <c r="N22" s="702"/>
      <c r="O22" s="703"/>
      <c r="P22" s="703"/>
      <c r="Q22" s="703"/>
      <c r="R22" s="703"/>
      <c r="S22" s="703"/>
      <c r="T22" s="703"/>
      <c r="U22" s="703"/>
      <c r="V22" s="703"/>
      <c r="W22" s="703"/>
      <c r="X22" s="703"/>
      <c r="Y22" s="703"/>
      <c r="Z22" s="703"/>
      <c r="AA22" s="703"/>
      <c r="AB22" s="703"/>
      <c r="AC22" s="703"/>
      <c r="AD22" s="703"/>
      <c r="AE22" s="703"/>
      <c r="AF22" s="704"/>
      <c r="AG22" s="705"/>
      <c r="AH22" s="699"/>
      <c r="AI22" s="699"/>
      <c r="AJ22" s="699"/>
      <c r="AK22" s="700"/>
      <c r="AL22" s="705"/>
      <c r="AM22" s="699"/>
      <c r="AN22" s="699"/>
      <c r="AO22" s="699"/>
      <c r="AP22" s="700"/>
    </row>
    <row r="23" spans="1:42" ht="21" customHeight="1">
      <c r="A23" s="698"/>
      <c r="B23" s="699"/>
      <c r="C23" s="699"/>
      <c r="D23" s="699"/>
      <c r="E23" s="700"/>
      <c r="F23" s="701"/>
      <c r="G23" s="699"/>
      <c r="H23" s="699"/>
      <c r="I23" s="699"/>
      <c r="J23" s="699"/>
      <c r="K23" s="699"/>
      <c r="L23" s="699"/>
      <c r="M23" s="700"/>
      <c r="N23" s="702"/>
      <c r="O23" s="703"/>
      <c r="P23" s="703"/>
      <c r="Q23" s="703"/>
      <c r="R23" s="703"/>
      <c r="S23" s="703"/>
      <c r="T23" s="703"/>
      <c r="U23" s="703"/>
      <c r="V23" s="703"/>
      <c r="W23" s="703"/>
      <c r="X23" s="703"/>
      <c r="Y23" s="703"/>
      <c r="Z23" s="703"/>
      <c r="AA23" s="703"/>
      <c r="AB23" s="703"/>
      <c r="AC23" s="703"/>
      <c r="AD23" s="703"/>
      <c r="AE23" s="703"/>
      <c r="AF23" s="704"/>
      <c r="AG23" s="705"/>
      <c r="AH23" s="699"/>
      <c r="AI23" s="699"/>
      <c r="AJ23" s="699"/>
      <c r="AK23" s="700"/>
      <c r="AL23" s="705"/>
      <c r="AM23" s="699"/>
      <c r="AN23" s="699"/>
      <c r="AO23" s="699"/>
      <c r="AP23" s="700"/>
    </row>
    <row r="24" spans="1:42" ht="21" customHeight="1">
      <c r="A24" s="698"/>
      <c r="B24" s="699"/>
      <c r="C24" s="699"/>
      <c r="D24" s="699"/>
      <c r="E24" s="700"/>
      <c r="F24" s="701"/>
      <c r="G24" s="699"/>
      <c r="H24" s="699"/>
      <c r="I24" s="699"/>
      <c r="J24" s="699"/>
      <c r="K24" s="699"/>
      <c r="L24" s="699"/>
      <c r="M24" s="700"/>
      <c r="N24" s="702"/>
      <c r="O24" s="703"/>
      <c r="P24" s="703"/>
      <c r="Q24" s="703"/>
      <c r="R24" s="703"/>
      <c r="S24" s="703"/>
      <c r="T24" s="703"/>
      <c r="U24" s="703"/>
      <c r="V24" s="703"/>
      <c r="W24" s="703"/>
      <c r="X24" s="703"/>
      <c r="Y24" s="703"/>
      <c r="Z24" s="703"/>
      <c r="AA24" s="703"/>
      <c r="AB24" s="703"/>
      <c r="AC24" s="703"/>
      <c r="AD24" s="703"/>
      <c r="AE24" s="703"/>
      <c r="AF24" s="704"/>
      <c r="AG24" s="705"/>
      <c r="AH24" s="699"/>
      <c r="AI24" s="699"/>
      <c r="AJ24" s="699"/>
      <c r="AK24" s="700"/>
      <c r="AL24" s="705"/>
      <c r="AM24" s="699"/>
      <c r="AN24" s="699"/>
      <c r="AO24" s="699"/>
      <c r="AP24" s="700"/>
    </row>
    <row r="25" spans="1:42" ht="21" customHeight="1">
      <c r="A25" s="698"/>
      <c r="B25" s="699"/>
      <c r="C25" s="699"/>
      <c r="D25" s="699"/>
      <c r="E25" s="700"/>
      <c r="F25" s="701"/>
      <c r="G25" s="699"/>
      <c r="H25" s="699"/>
      <c r="I25" s="699"/>
      <c r="J25" s="699"/>
      <c r="K25" s="699"/>
      <c r="L25" s="699"/>
      <c r="M25" s="700"/>
      <c r="N25" s="702"/>
      <c r="O25" s="703"/>
      <c r="P25" s="703"/>
      <c r="Q25" s="703"/>
      <c r="R25" s="703"/>
      <c r="S25" s="703"/>
      <c r="T25" s="703"/>
      <c r="U25" s="703"/>
      <c r="V25" s="703"/>
      <c r="W25" s="703"/>
      <c r="X25" s="703"/>
      <c r="Y25" s="703"/>
      <c r="Z25" s="703"/>
      <c r="AA25" s="703"/>
      <c r="AB25" s="703"/>
      <c r="AC25" s="703"/>
      <c r="AD25" s="703"/>
      <c r="AE25" s="703"/>
      <c r="AF25" s="704"/>
      <c r="AG25" s="705"/>
      <c r="AH25" s="699"/>
      <c r="AI25" s="699"/>
      <c r="AJ25" s="699"/>
      <c r="AK25" s="700"/>
      <c r="AL25" s="705"/>
      <c r="AM25" s="699"/>
      <c r="AN25" s="699"/>
      <c r="AO25" s="699"/>
      <c r="AP25" s="700"/>
    </row>
    <row r="26" spans="1:42" ht="21" customHeight="1">
      <c r="A26" s="698"/>
      <c r="B26" s="699"/>
      <c r="C26" s="699"/>
      <c r="D26" s="699"/>
      <c r="E26" s="700"/>
      <c r="F26" s="701"/>
      <c r="G26" s="699"/>
      <c r="H26" s="699"/>
      <c r="I26" s="699"/>
      <c r="J26" s="699"/>
      <c r="K26" s="699"/>
      <c r="L26" s="699"/>
      <c r="M26" s="700"/>
      <c r="N26" s="702"/>
      <c r="O26" s="703"/>
      <c r="P26" s="703"/>
      <c r="Q26" s="703"/>
      <c r="R26" s="703"/>
      <c r="S26" s="703"/>
      <c r="T26" s="703"/>
      <c r="U26" s="703"/>
      <c r="V26" s="703"/>
      <c r="W26" s="703"/>
      <c r="X26" s="703"/>
      <c r="Y26" s="703"/>
      <c r="Z26" s="703"/>
      <c r="AA26" s="703"/>
      <c r="AB26" s="703"/>
      <c r="AC26" s="703"/>
      <c r="AD26" s="703"/>
      <c r="AE26" s="703"/>
      <c r="AF26" s="704"/>
      <c r="AG26" s="705"/>
      <c r="AH26" s="699"/>
      <c r="AI26" s="699"/>
      <c r="AJ26" s="699"/>
      <c r="AK26" s="700"/>
      <c r="AL26" s="705"/>
      <c r="AM26" s="699"/>
      <c r="AN26" s="699"/>
      <c r="AO26" s="699"/>
      <c r="AP26" s="700"/>
    </row>
    <row r="27" spans="1:42" ht="21" customHeight="1">
      <c r="A27" s="698"/>
      <c r="B27" s="699"/>
      <c r="C27" s="699"/>
      <c r="D27" s="699"/>
      <c r="E27" s="700"/>
      <c r="F27" s="701"/>
      <c r="G27" s="699"/>
      <c r="H27" s="699"/>
      <c r="I27" s="699"/>
      <c r="J27" s="699"/>
      <c r="K27" s="699"/>
      <c r="L27" s="699"/>
      <c r="M27" s="700"/>
      <c r="N27" s="702"/>
      <c r="O27" s="703"/>
      <c r="P27" s="703"/>
      <c r="Q27" s="703"/>
      <c r="R27" s="703"/>
      <c r="S27" s="703"/>
      <c r="T27" s="703"/>
      <c r="U27" s="703"/>
      <c r="V27" s="703"/>
      <c r="W27" s="703"/>
      <c r="X27" s="703"/>
      <c r="Y27" s="703"/>
      <c r="Z27" s="703"/>
      <c r="AA27" s="703"/>
      <c r="AB27" s="703"/>
      <c r="AC27" s="703"/>
      <c r="AD27" s="703"/>
      <c r="AE27" s="703"/>
      <c r="AF27" s="704"/>
      <c r="AG27" s="705"/>
      <c r="AH27" s="699"/>
      <c r="AI27" s="699"/>
      <c r="AJ27" s="699"/>
      <c r="AK27" s="700"/>
      <c r="AL27" s="705"/>
      <c r="AM27" s="699"/>
      <c r="AN27" s="699"/>
      <c r="AO27" s="699"/>
      <c r="AP27" s="700"/>
    </row>
    <row r="28" spans="1:42" ht="21" customHeight="1">
      <c r="A28" s="698"/>
      <c r="B28" s="699"/>
      <c r="C28" s="699"/>
      <c r="D28" s="699"/>
      <c r="E28" s="700"/>
      <c r="F28" s="701"/>
      <c r="G28" s="699"/>
      <c r="H28" s="699"/>
      <c r="I28" s="699"/>
      <c r="J28" s="699"/>
      <c r="K28" s="699"/>
      <c r="L28" s="699"/>
      <c r="M28" s="700"/>
      <c r="N28" s="702"/>
      <c r="O28" s="703"/>
      <c r="P28" s="703"/>
      <c r="Q28" s="703"/>
      <c r="R28" s="703"/>
      <c r="S28" s="703"/>
      <c r="T28" s="703"/>
      <c r="U28" s="703"/>
      <c r="V28" s="703"/>
      <c r="W28" s="703"/>
      <c r="X28" s="703"/>
      <c r="Y28" s="703"/>
      <c r="Z28" s="703"/>
      <c r="AA28" s="703"/>
      <c r="AB28" s="703"/>
      <c r="AC28" s="703"/>
      <c r="AD28" s="703"/>
      <c r="AE28" s="703"/>
      <c r="AF28" s="704"/>
      <c r="AG28" s="705"/>
      <c r="AH28" s="699"/>
      <c r="AI28" s="699"/>
      <c r="AJ28" s="699"/>
      <c r="AK28" s="700"/>
      <c r="AL28" s="705"/>
      <c r="AM28" s="699"/>
      <c r="AN28" s="699"/>
      <c r="AO28" s="699"/>
      <c r="AP28" s="700"/>
    </row>
  </sheetData>
  <mergeCells count="132">
    <mergeCell ref="AN1:AP1"/>
    <mergeCell ref="A4:E4"/>
    <mergeCell ref="F4:M4"/>
    <mergeCell ref="N4:AF4"/>
    <mergeCell ref="AG4:AK4"/>
    <mergeCell ref="AL4:AP4"/>
    <mergeCell ref="A1:P1"/>
    <mergeCell ref="Q1:S1"/>
    <mergeCell ref="T1:Y1"/>
    <mergeCell ref="Z1:AC1"/>
    <mergeCell ref="AD1:AK1"/>
    <mergeCell ref="AL1:AM1"/>
    <mergeCell ref="A5:E5"/>
    <mergeCell ref="F5:M5"/>
    <mergeCell ref="N5:AF5"/>
    <mergeCell ref="AG5:AK5"/>
    <mergeCell ref="AL5:AP5"/>
    <mergeCell ref="A6:E6"/>
    <mergeCell ref="F6:M6"/>
    <mergeCell ref="N6:AF6"/>
    <mergeCell ref="AG6:AK6"/>
    <mergeCell ref="AL6:AP6"/>
    <mergeCell ref="A7:E7"/>
    <mergeCell ref="F7:M7"/>
    <mergeCell ref="N7:AF7"/>
    <mergeCell ref="AG7:AK7"/>
    <mergeCell ref="AL7:AP7"/>
    <mergeCell ref="A8:E8"/>
    <mergeCell ref="F8:M8"/>
    <mergeCell ref="N8:AF8"/>
    <mergeCell ref="AG8:AK8"/>
    <mergeCell ref="AL8:AP8"/>
    <mergeCell ref="A9:E9"/>
    <mergeCell ref="F9:M9"/>
    <mergeCell ref="N9:AF9"/>
    <mergeCell ref="AG9:AK9"/>
    <mergeCell ref="AL9:AP9"/>
    <mergeCell ref="A10:E10"/>
    <mergeCell ref="F10:M10"/>
    <mergeCell ref="N10:AF10"/>
    <mergeCell ref="AG10:AK10"/>
    <mergeCell ref="AL10:AP10"/>
    <mergeCell ref="A11:E11"/>
    <mergeCell ref="F11:M11"/>
    <mergeCell ref="N11:AF11"/>
    <mergeCell ref="AG11:AK11"/>
    <mergeCell ref="AL11:AP11"/>
    <mergeCell ref="A12:E12"/>
    <mergeCell ref="F12:M12"/>
    <mergeCell ref="N12:AF12"/>
    <mergeCell ref="AG12:AK12"/>
    <mergeCell ref="AL12:AP12"/>
    <mergeCell ref="A13:E13"/>
    <mergeCell ref="F13:M13"/>
    <mergeCell ref="N13:AF13"/>
    <mergeCell ref="AG13:AK13"/>
    <mergeCell ref="AL13:AP13"/>
    <mergeCell ref="A14:E14"/>
    <mergeCell ref="F14:M14"/>
    <mergeCell ref="N14:AF14"/>
    <mergeCell ref="AG14:AK14"/>
    <mergeCell ref="AL14:AP14"/>
    <mergeCell ref="A15:E15"/>
    <mergeCell ref="F15:M15"/>
    <mergeCell ref="N15:AF15"/>
    <mergeCell ref="AG15:AK15"/>
    <mergeCell ref="AL15:AP15"/>
    <mergeCell ref="A16:E16"/>
    <mergeCell ref="F16:M16"/>
    <mergeCell ref="N16:AF16"/>
    <mergeCell ref="AG16:AK16"/>
    <mergeCell ref="AL16:AP16"/>
    <mergeCell ref="A17:E17"/>
    <mergeCell ref="F17:M17"/>
    <mergeCell ref="N17:AF17"/>
    <mergeCell ref="AG17:AK17"/>
    <mergeCell ref="AL17:AP17"/>
    <mergeCell ref="A18:E18"/>
    <mergeCell ref="F18:M18"/>
    <mergeCell ref="N18:AF18"/>
    <mergeCell ref="AG18:AK18"/>
    <mergeCell ref="AL18:AP18"/>
    <mergeCell ref="A19:E19"/>
    <mergeCell ref="F19:M19"/>
    <mergeCell ref="N19:AF19"/>
    <mergeCell ref="AG19:AK19"/>
    <mergeCell ref="AL19:AP19"/>
    <mergeCell ref="A20:E20"/>
    <mergeCell ref="F20:M20"/>
    <mergeCell ref="N20:AF20"/>
    <mergeCell ref="AG20:AK20"/>
    <mergeCell ref="AL20:AP20"/>
    <mergeCell ref="A21:E21"/>
    <mergeCell ref="F21:M21"/>
    <mergeCell ref="N21:AF21"/>
    <mergeCell ref="AG21:AK21"/>
    <mergeCell ref="AL21:AP21"/>
    <mergeCell ref="A22:E22"/>
    <mergeCell ref="F22:M22"/>
    <mergeCell ref="N22:AF22"/>
    <mergeCell ref="AG22:AK22"/>
    <mergeCell ref="AL22:AP22"/>
    <mergeCell ref="A23:E23"/>
    <mergeCell ref="F23:M23"/>
    <mergeCell ref="N23:AF23"/>
    <mergeCell ref="AG23:AK23"/>
    <mergeCell ref="AL23:AP23"/>
    <mergeCell ref="A24:E24"/>
    <mergeCell ref="F24:M24"/>
    <mergeCell ref="N24:AF24"/>
    <mergeCell ref="AG24:AK24"/>
    <mergeCell ref="AL24:AP24"/>
    <mergeCell ref="A25:E25"/>
    <mergeCell ref="F25:M25"/>
    <mergeCell ref="N25:AF25"/>
    <mergeCell ref="AG25:AK25"/>
    <mergeCell ref="AL25:AP25"/>
    <mergeCell ref="A26:E26"/>
    <mergeCell ref="F26:M26"/>
    <mergeCell ref="N26:AF26"/>
    <mergeCell ref="AG26:AK26"/>
    <mergeCell ref="AL26:AP26"/>
    <mergeCell ref="A28:E28"/>
    <mergeCell ref="F28:M28"/>
    <mergeCell ref="N28:AF28"/>
    <mergeCell ref="AG28:AK28"/>
    <mergeCell ref="AL28:AP28"/>
    <mergeCell ref="A27:E27"/>
    <mergeCell ref="F27:M27"/>
    <mergeCell ref="N27:AF27"/>
    <mergeCell ref="AG27:AK27"/>
    <mergeCell ref="AL27:AP27"/>
  </mergeCells>
  <phoneticPr fontId="2"/>
  <pageMargins left="0.7" right="0.7" top="0.75" bottom="0.75" header="0.3" footer="0.3"/>
  <pageSetup paperSize="9" scale="99" orientation="portrait" r:id="rId1"/>
  <drawing r:id="rId2"/>
  <legacyDrawing r:id="rId3"/>
  <oleObjects>
    <mc:AlternateContent xmlns:mc="http://schemas.openxmlformats.org/markup-compatibility/2006">
      <mc:Choice Requires="x14">
        <oleObject progId="Dstmp.StampObject.6" shapeId="7169" r:id="rId4">
          <objectPr defaultSize="0" r:id="rId5">
            <anchor moveWithCells="1">
              <from>
                <xdr:col>37</xdr:col>
                <xdr:colOff>19050</xdr:colOff>
                <xdr:row>5</xdr:row>
                <xdr:rowOff>123825</xdr:rowOff>
              </from>
              <to>
                <xdr:col>41</xdr:col>
                <xdr:colOff>133350</xdr:colOff>
                <xdr:row>5</xdr:row>
                <xdr:rowOff>828675</xdr:rowOff>
              </to>
            </anchor>
          </objectPr>
        </oleObject>
      </mc:Choice>
      <mc:Fallback>
        <oleObject progId="Dstmp.StampObject.6" shapeId="7169" r:id="rId4"/>
      </mc:Fallback>
    </mc:AlternateContent>
    <mc:AlternateContent xmlns:mc="http://schemas.openxmlformats.org/markup-compatibility/2006">
      <mc:Choice Requires="x14">
        <oleObject progId="Dstmp.StampObject.6" shapeId="7170" r:id="rId6">
          <objectPr defaultSize="0" autoFill="0" autoLine="0" autoPict="0" r:id="rId7">
            <anchor>
              <from>
                <xdr:col>32</xdr:col>
                <xdr:colOff>19050</xdr:colOff>
                <xdr:row>5</xdr:row>
                <xdr:rowOff>161925</xdr:rowOff>
              </from>
              <to>
                <xdr:col>36</xdr:col>
                <xdr:colOff>133350</xdr:colOff>
                <xdr:row>5</xdr:row>
                <xdr:rowOff>857250</xdr:rowOff>
              </to>
            </anchor>
          </objectPr>
        </oleObject>
      </mc:Choice>
      <mc:Fallback>
        <oleObject progId="Dstmp.StampObject.6" shapeId="7170" r:id="rId6"/>
      </mc:Fallback>
    </mc:AlternateContent>
    <mc:AlternateContent xmlns:mc="http://schemas.openxmlformats.org/markup-compatibility/2006">
      <mc:Choice Requires="x14">
        <oleObject progId="Dstmp.StampObject.6" shapeId="7171" r:id="rId8">
          <objectPr defaultSize="0" r:id="rId9">
            <anchor moveWithCells="1">
              <from>
                <xdr:col>37</xdr:col>
                <xdr:colOff>0</xdr:colOff>
                <xdr:row>6</xdr:row>
                <xdr:rowOff>0</xdr:rowOff>
              </from>
              <to>
                <xdr:col>41</xdr:col>
                <xdr:colOff>104775</xdr:colOff>
                <xdr:row>7</xdr:row>
                <xdr:rowOff>28575</xdr:rowOff>
              </to>
            </anchor>
          </objectPr>
        </oleObject>
      </mc:Choice>
      <mc:Fallback>
        <oleObject progId="Dstmp.StampObject.6" shapeId="7171" r:id="rId8"/>
      </mc:Fallback>
    </mc:AlternateContent>
    <mc:AlternateContent xmlns:mc="http://schemas.openxmlformats.org/markup-compatibility/2006">
      <mc:Choice Requires="x14">
        <oleObject progId="Dstmp.StampObject.6" shapeId="7172" r:id="rId10">
          <objectPr defaultSize="0" autoFill="0" autoLine="0" autoPict="0" r:id="rId11">
            <anchor>
              <from>
                <xdr:col>32</xdr:col>
                <xdr:colOff>19050</xdr:colOff>
                <xdr:row>5</xdr:row>
                <xdr:rowOff>923925</xdr:rowOff>
              </from>
              <to>
                <xdr:col>36</xdr:col>
                <xdr:colOff>133350</xdr:colOff>
                <xdr:row>7</xdr:row>
                <xdr:rowOff>19050</xdr:rowOff>
              </to>
            </anchor>
          </objectPr>
        </oleObject>
      </mc:Choice>
      <mc:Fallback>
        <oleObject progId="Dstmp.StampObject.6" shapeId="7172" r:id="rId10"/>
      </mc:Fallback>
    </mc:AlternateContent>
    <mc:AlternateContent xmlns:mc="http://schemas.openxmlformats.org/markup-compatibility/2006">
      <mc:Choice Requires="x14">
        <oleObject progId="Dstmp.StampObject.6" shapeId="7173" r:id="rId12">
          <objectPr defaultSize="0" r:id="rId13">
            <anchor moveWithCells="1">
              <from>
                <xdr:col>37</xdr:col>
                <xdr:colOff>19050</xdr:colOff>
                <xdr:row>7</xdr:row>
                <xdr:rowOff>152400</xdr:rowOff>
              </from>
              <to>
                <xdr:col>41</xdr:col>
                <xdr:colOff>133350</xdr:colOff>
                <xdr:row>7</xdr:row>
                <xdr:rowOff>857250</xdr:rowOff>
              </to>
            </anchor>
          </objectPr>
        </oleObject>
      </mc:Choice>
      <mc:Fallback>
        <oleObject progId="Dstmp.StampObject.6" shapeId="7173" r:id="rId12"/>
      </mc:Fallback>
    </mc:AlternateContent>
    <mc:AlternateContent xmlns:mc="http://schemas.openxmlformats.org/markup-compatibility/2006">
      <mc:Choice Requires="x14">
        <oleObject progId="Dstmp.StampObject.6" shapeId="7174" r:id="rId14">
          <objectPr defaultSize="0" r:id="rId15">
            <anchor moveWithCells="1">
              <from>
                <xdr:col>32</xdr:col>
                <xdr:colOff>123825</xdr:colOff>
                <xdr:row>7</xdr:row>
                <xdr:rowOff>238125</xdr:rowOff>
              </from>
              <to>
                <xdr:col>36</xdr:col>
                <xdr:colOff>47625</xdr:colOff>
                <xdr:row>7</xdr:row>
                <xdr:rowOff>809625</xdr:rowOff>
              </to>
            </anchor>
          </objectPr>
        </oleObject>
      </mc:Choice>
      <mc:Fallback>
        <oleObject progId="Dstmp.StampObject.6" shapeId="7174" r:id="rId1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100"/>
  <sheetViews>
    <sheetView workbookViewId="0">
      <selection activeCell="H21" sqref="H21"/>
    </sheetView>
  </sheetViews>
  <sheetFormatPr defaultColWidth="9" defaultRowHeight="12"/>
  <cols>
    <col min="1" max="1" width="7" style="2" bestFit="1" customWidth="1"/>
    <col min="2" max="2" width="4.375" style="2" bestFit="1" customWidth="1"/>
    <col min="3" max="4" width="4.375" style="2" customWidth="1"/>
    <col min="5" max="5" width="11.375" style="2" bestFit="1" customWidth="1"/>
    <col min="6" max="6" width="17.125" style="2" customWidth="1"/>
    <col min="7" max="7" width="4" style="2" customWidth="1"/>
    <col min="8" max="8" width="4.75" style="2" bestFit="1" customWidth="1"/>
    <col min="9" max="9" width="5.375" style="2" bestFit="1" customWidth="1"/>
    <col min="10" max="10" width="3.375" style="2" customWidth="1"/>
    <col min="11" max="11" width="4.75" style="2" bestFit="1" customWidth="1"/>
    <col min="12" max="12" width="15.125" style="2" customWidth="1"/>
    <col min="13" max="13" width="4.125" style="2" customWidth="1"/>
    <col min="14" max="14" width="4.75" style="2" bestFit="1" customWidth="1"/>
    <col min="15" max="15" width="4.125" style="5" customWidth="1"/>
    <col min="16" max="16" width="4.25" style="2" customWidth="1"/>
    <col min="17" max="17" width="4.75" style="2" bestFit="1" customWidth="1"/>
    <col min="18" max="18" width="7.375" style="2" bestFit="1" customWidth="1"/>
    <col min="19" max="19" width="14.375" style="2" bestFit="1" customWidth="1"/>
    <col min="20" max="16384" width="9" style="2"/>
  </cols>
  <sheetData>
    <row r="1" spans="1:19">
      <c r="A1" s="2" t="s">
        <v>234</v>
      </c>
      <c r="C1" s="3" t="e">
        <f>IF(業績評価ｼｰﾄ!$CM$4="","",VLOOKUP(業績評価ｼｰﾄ!$CM$4,$B$4:$C$35,2,FALSE))</f>
        <v>#N/A</v>
      </c>
      <c r="F1" s="4" t="s">
        <v>235</v>
      </c>
    </row>
    <row r="2" spans="1:19">
      <c r="A2" s="2" t="s">
        <v>236</v>
      </c>
      <c r="C2" s="3" t="e">
        <f>IF(業績評価ｼｰﾄ!$CM$4="","",VLOOKUP(業績評価ｼｰﾄ!$CM$4,$B$4:$C$35,2,FALSE))</f>
        <v>#N/A</v>
      </c>
    </row>
    <row r="4" spans="1:19">
      <c r="A4" s="6" t="s">
        <v>237</v>
      </c>
      <c r="B4" s="176" t="s">
        <v>238</v>
      </c>
      <c r="C4" s="7">
        <v>900</v>
      </c>
      <c r="E4" s="6" t="s">
        <v>239</v>
      </c>
      <c r="F4" s="176" t="s">
        <v>240</v>
      </c>
      <c r="H4" s="6" t="s">
        <v>241</v>
      </c>
      <c r="I4" s="7" t="s">
        <v>242</v>
      </c>
      <c r="K4" s="6" t="s">
        <v>243</v>
      </c>
      <c r="L4" s="7" t="s">
        <v>244</v>
      </c>
      <c r="N4" s="6" t="s">
        <v>245</v>
      </c>
      <c r="O4" s="1" t="s">
        <v>246</v>
      </c>
      <c r="Q4" s="10" t="s">
        <v>247</v>
      </c>
      <c r="R4" s="13"/>
      <c r="S4" s="7"/>
    </row>
    <row r="5" spans="1:19">
      <c r="A5" s="8"/>
      <c r="B5" s="86" t="s">
        <v>248</v>
      </c>
      <c r="C5" s="7">
        <v>470</v>
      </c>
      <c r="E5" s="8"/>
      <c r="F5" s="176" t="s">
        <v>249</v>
      </c>
      <c r="H5" s="8"/>
      <c r="I5" s="7" t="s">
        <v>250</v>
      </c>
      <c r="K5" s="8"/>
      <c r="L5" s="7" t="s">
        <v>251</v>
      </c>
      <c r="N5" s="9"/>
      <c r="O5" s="1" t="s">
        <v>252</v>
      </c>
      <c r="Q5" s="11"/>
      <c r="R5" s="13"/>
      <c r="S5" s="7"/>
    </row>
    <row r="6" spans="1:19">
      <c r="A6" s="8"/>
      <c r="B6" s="86" t="s">
        <v>253</v>
      </c>
      <c r="C6" s="7">
        <v>460</v>
      </c>
      <c r="E6" s="8"/>
      <c r="F6" s="176" t="s">
        <v>254</v>
      </c>
      <c r="H6" s="9"/>
      <c r="I6" s="7" t="s">
        <v>255</v>
      </c>
      <c r="K6" s="8"/>
      <c r="L6" s="7" t="s">
        <v>256</v>
      </c>
      <c r="Q6" s="11"/>
      <c r="R6" s="13" t="s">
        <v>257</v>
      </c>
      <c r="S6" s="7" t="s">
        <v>258</v>
      </c>
    </row>
    <row r="7" spans="1:19">
      <c r="A7" s="8"/>
      <c r="B7" s="86" t="s">
        <v>259</v>
      </c>
      <c r="C7" s="7">
        <v>450</v>
      </c>
      <c r="E7" s="8"/>
      <c r="F7" s="177" t="s">
        <v>260</v>
      </c>
      <c r="K7" s="8"/>
      <c r="L7" s="7" t="s">
        <v>261</v>
      </c>
      <c r="Q7" s="11"/>
      <c r="R7" s="13" t="s">
        <v>262</v>
      </c>
      <c r="S7" s="7" t="s">
        <v>263</v>
      </c>
    </row>
    <row r="8" spans="1:19">
      <c r="A8" s="8"/>
      <c r="B8" s="86" t="s">
        <v>264</v>
      </c>
      <c r="C8" s="7">
        <v>440</v>
      </c>
      <c r="E8" s="8"/>
      <c r="F8" s="178" t="s">
        <v>265</v>
      </c>
      <c r="K8" s="8"/>
      <c r="L8" s="7" t="s">
        <v>266</v>
      </c>
      <c r="Q8" s="11"/>
      <c r="R8" s="13" t="s">
        <v>267</v>
      </c>
      <c r="S8" s="7" t="s">
        <v>268</v>
      </c>
    </row>
    <row r="9" spans="1:19">
      <c r="A9" s="8"/>
      <c r="B9" s="86" t="s">
        <v>269</v>
      </c>
      <c r="C9" s="7">
        <v>430</v>
      </c>
      <c r="E9" s="8"/>
      <c r="F9" s="179" t="s">
        <v>270</v>
      </c>
      <c r="K9" s="8"/>
      <c r="L9" s="7" t="s">
        <v>271</v>
      </c>
      <c r="Q9" s="11"/>
      <c r="R9" s="13" t="s">
        <v>272</v>
      </c>
      <c r="S9" s="7" t="s">
        <v>273</v>
      </c>
    </row>
    <row r="10" spans="1:19">
      <c r="A10" s="8"/>
      <c r="B10" s="7" t="s">
        <v>274</v>
      </c>
      <c r="C10" s="7">
        <v>420</v>
      </c>
      <c r="E10" s="8"/>
      <c r="F10" s="177" t="s">
        <v>275</v>
      </c>
      <c r="K10" s="8"/>
      <c r="L10" s="7" t="s">
        <v>276</v>
      </c>
      <c r="Q10" s="11"/>
      <c r="R10" s="13" t="s">
        <v>277</v>
      </c>
      <c r="S10" s="7" t="s">
        <v>278</v>
      </c>
    </row>
    <row r="11" spans="1:19">
      <c r="A11" s="8"/>
      <c r="B11" s="7" t="s">
        <v>279</v>
      </c>
      <c r="C11" s="7">
        <v>410</v>
      </c>
      <c r="E11" s="8"/>
      <c r="F11" s="176" t="s">
        <v>280</v>
      </c>
      <c r="K11" s="8"/>
      <c r="L11" s="7" t="s">
        <v>281</v>
      </c>
      <c r="Q11" s="11"/>
      <c r="R11" s="13" t="s">
        <v>282</v>
      </c>
      <c r="S11" s="7" t="s">
        <v>283</v>
      </c>
    </row>
    <row r="12" spans="1:19">
      <c r="A12" s="8"/>
      <c r="B12" s="7" t="s">
        <v>284</v>
      </c>
      <c r="C12" s="7">
        <v>540</v>
      </c>
      <c r="E12" s="8"/>
      <c r="F12" s="176" t="s">
        <v>285</v>
      </c>
      <c r="K12" s="12"/>
      <c r="L12" s="12" t="s">
        <v>286</v>
      </c>
      <c r="Q12" s="11"/>
      <c r="R12" s="13" t="s">
        <v>287</v>
      </c>
      <c r="S12" s="7" t="s">
        <v>288</v>
      </c>
    </row>
    <row r="13" spans="1:19">
      <c r="A13" s="8"/>
      <c r="B13" s="7" t="s">
        <v>289</v>
      </c>
      <c r="C13" s="7">
        <v>530</v>
      </c>
      <c r="E13" s="11"/>
      <c r="F13" s="176" t="s">
        <v>290</v>
      </c>
      <c r="Q13" s="11"/>
      <c r="R13" s="13" t="s">
        <v>291</v>
      </c>
      <c r="S13" s="7" t="s">
        <v>292</v>
      </c>
    </row>
    <row r="14" spans="1:19">
      <c r="A14" s="8"/>
      <c r="B14" s="7" t="s">
        <v>293</v>
      </c>
      <c r="C14" s="7">
        <v>520</v>
      </c>
      <c r="E14" s="11"/>
      <c r="F14" s="176" t="s">
        <v>294</v>
      </c>
      <c r="Q14" s="11"/>
      <c r="R14" s="13" t="s">
        <v>295</v>
      </c>
      <c r="S14" s="7" t="s">
        <v>296</v>
      </c>
    </row>
    <row r="15" spans="1:19">
      <c r="A15" s="8"/>
      <c r="B15" s="7" t="s">
        <v>297</v>
      </c>
      <c r="C15" s="7">
        <v>510</v>
      </c>
      <c r="E15" s="12"/>
      <c r="F15" s="176" t="s">
        <v>298</v>
      </c>
      <c r="K15" s="10" t="s">
        <v>299</v>
      </c>
      <c r="L15" s="10">
        <v>20</v>
      </c>
      <c r="M15" s="10" t="s">
        <v>84</v>
      </c>
      <c r="Q15" s="11"/>
      <c r="R15" s="13" t="s">
        <v>300</v>
      </c>
      <c r="S15" s="7" t="s">
        <v>301</v>
      </c>
    </row>
    <row r="16" spans="1:19">
      <c r="A16" s="8"/>
      <c r="B16" s="7" t="s">
        <v>302</v>
      </c>
      <c r="C16" s="7">
        <v>500</v>
      </c>
      <c r="K16" s="11"/>
      <c r="L16" s="11">
        <v>21</v>
      </c>
      <c r="M16" s="11" t="s">
        <v>84</v>
      </c>
      <c r="Q16" s="11"/>
      <c r="R16" s="13" t="s">
        <v>303</v>
      </c>
      <c r="S16" s="7" t="s">
        <v>304</v>
      </c>
    </row>
    <row r="17" spans="1:19">
      <c r="A17" s="8"/>
      <c r="B17" s="7" t="s">
        <v>305</v>
      </c>
      <c r="C17" s="7"/>
      <c r="K17" s="11"/>
      <c r="L17" s="11">
        <v>22</v>
      </c>
      <c r="M17" s="11" t="s">
        <v>84</v>
      </c>
      <c r="Q17" s="11"/>
      <c r="R17" s="13" t="s">
        <v>306</v>
      </c>
      <c r="S17" s="7" t="s">
        <v>307</v>
      </c>
    </row>
    <row r="18" spans="1:19">
      <c r="A18" s="8"/>
      <c r="B18" s="7" t="s">
        <v>308</v>
      </c>
      <c r="C18" s="7">
        <v>330</v>
      </c>
      <c r="K18" s="11"/>
      <c r="L18" s="11">
        <v>23</v>
      </c>
      <c r="M18" s="11" t="s">
        <v>84</v>
      </c>
      <c r="Q18" s="11"/>
      <c r="R18" s="13" t="s">
        <v>309</v>
      </c>
      <c r="S18" s="7" t="s">
        <v>310</v>
      </c>
    </row>
    <row r="19" spans="1:19" ht="36">
      <c r="A19" s="8"/>
      <c r="B19" s="7" t="s">
        <v>311</v>
      </c>
      <c r="C19" s="7">
        <v>320</v>
      </c>
      <c r="E19" s="7" t="s">
        <v>312</v>
      </c>
      <c r="F19" s="81" t="s">
        <v>313</v>
      </c>
      <c r="K19" s="11"/>
      <c r="L19" s="11">
        <v>24</v>
      </c>
      <c r="M19" s="11" t="s">
        <v>84</v>
      </c>
      <c r="Q19" s="11"/>
      <c r="R19" s="13" t="s">
        <v>314</v>
      </c>
      <c r="S19" s="7" t="s">
        <v>315</v>
      </c>
    </row>
    <row r="20" spans="1:19" ht="60">
      <c r="A20" s="8"/>
      <c r="B20" s="7" t="s">
        <v>316</v>
      </c>
      <c r="C20" s="7">
        <v>310</v>
      </c>
      <c r="E20" s="7"/>
      <c r="F20" s="79" t="s">
        <v>317</v>
      </c>
      <c r="K20" s="11"/>
      <c r="L20" s="11">
        <v>25</v>
      </c>
      <c r="M20" s="11" t="s">
        <v>84</v>
      </c>
      <c r="Q20" s="11"/>
      <c r="R20" s="13" t="s">
        <v>318</v>
      </c>
      <c r="S20" s="7" t="s">
        <v>319</v>
      </c>
    </row>
    <row r="21" spans="1:19" ht="60">
      <c r="A21" s="8"/>
      <c r="B21" s="7" t="s">
        <v>320</v>
      </c>
      <c r="C21" s="7"/>
      <c r="E21" s="7"/>
      <c r="F21" s="82" t="s">
        <v>321</v>
      </c>
      <c r="K21" s="11"/>
      <c r="L21" s="11">
        <v>26</v>
      </c>
      <c r="M21" s="11" t="s">
        <v>84</v>
      </c>
      <c r="Q21" s="11"/>
      <c r="R21" s="13" t="s">
        <v>322</v>
      </c>
      <c r="S21" s="7" t="s">
        <v>323</v>
      </c>
    </row>
    <row r="22" spans="1:19">
      <c r="A22" s="11"/>
      <c r="B22" s="7" t="s">
        <v>324</v>
      </c>
      <c r="C22" s="7">
        <v>260</v>
      </c>
      <c r="E22" s="7"/>
      <c r="F22" s="7" t="s">
        <v>325</v>
      </c>
      <c r="K22" s="11"/>
      <c r="L22" s="11">
        <v>27</v>
      </c>
      <c r="M22" s="11" t="s">
        <v>84</v>
      </c>
      <c r="Q22" s="11"/>
      <c r="R22" s="13" t="s">
        <v>326</v>
      </c>
      <c r="S22" s="7" t="s">
        <v>327</v>
      </c>
    </row>
    <row r="23" spans="1:19">
      <c r="A23" s="11"/>
      <c r="B23" s="7" t="s">
        <v>328</v>
      </c>
      <c r="C23" s="7">
        <v>250</v>
      </c>
      <c r="K23" s="11"/>
      <c r="L23" s="11">
        <v>28</v>
      </c>
      <c r="M23" s="11" t="s">
        <v>84</v>
      </c>
      <c r="Q23" s="11"/>
      <c r="R23" s="13" t="s">
        <v>329</v>
      </c>
      <c r="S23" s="7" t="s">
        <v>330</v>
      </c>
    </row>
    <row r="24" spans="1:19">
      <c r="A24" s="11"/>
      <c r="B24" s="7" t="s">
        <v>331</v>
      </c>
      <c r="C24" s="7">
        <v>240</v>
      </c>
      <c r="K24" s="11"/>
      <c r="L24" s="11">
        <v>29</v>
      </c>
      <c r="M24" s="11" t="s">
        <v>84</v>
      </c>
      <c r="Q24" s="11"/>
      <c r="R24" s="13" t="s">
        <v>332</v>
      </c>
      <c r="S24" s="7" t="s">
        <v>333</v>
      </c>
    </row>
    <row r="25" spans="1:19">
      <c r="A25" s="11"/>
      <c r="B25" s="7" t="s">
        <v>334</v>
      </c>
      <c r="C25" s="7">
        <v>230</v>
      </c>
      <c r="K25" s="11"/>
      <c r="L25" s="11">
        <v>30</v>
      </c>
      <c r="M25" s="11" t="s">
        <v>84</v>
      </c>
      <c r="Q25" s="11"/>
      <c r="R25" s="13" t="s">
        <v>335</v>
      </c>
      <c r="S25" s="7" t="s">
        <v>336</v>
      </c>
    </row>
    <row r="26" spans="1:19">
      <c r="A26" s="11"/>
      <c r="B26" s="7" t="s">
        <v>337</v>
      </c>
      <c r="C26" s="7">
        <v>220</v>
      </c>
      <c r="F26" s="10" t="s">
        <v>338</v>
      </c>
      <c r="G26" s="7" t="s">
        <v>68</v>
      </c>
      <c r="H26" s="7">
        <v>1.7</v>
      </c>
      <c r="K26" s="11"/>
      <c r="L26" s="11">
        <v>31</v>
      </c>
      <c r="M26" s="11" t="s">
        <v>84</v>
      </c>
      <c r="Q26" s="11"/>
      <c r="R26" s="13" t="s">
        <v>339</v>
      </c>
      <c r="S26" s="7" t="s">
        <v>340</v>
      </c>
    </row>
    <row r="27" spans="1:19">
      <c r="A27" s="11"/>
      <c r="B27" s="7" t="s">
        <v>341</v>
      </c>
      <c r="C27" s="7">
        <v>210</v>
      </c>
      <c r="F27" s="11"/>
      <c r="G27" s="7" t="s">
        <v>76</v>
      </c>
      <c r="H27" s="7">
        <v>1</v>
      </c>
      <c r="K27" s="11"/>
      <c r="L27" s="11">
        <v>32</v>
      </c>
      <c r="M27" s="11" t="s">
        <v>84</v>
      </c>
      <c r="Q27" s="11"/>
      <c r="R27" s="13" t="s">
        <v>342</v>
      </c>
      <c r="S27" s="7" t="s">
        <v>343</v>
      </c>
    </row>
    <row r="28" spans="1:19">
      <c r="A28" s="11"/>
      <c r="B28" s="7" t="s">
        <v>344</v>
      </c>
      <c r="C28" s="7">
        <v>200</v>
      </c>
      <c r="F28" s="12"/>
      <c r="G28" s="7" t="s">
        <v>84</v>
      </c>
      <c r="H28" s="7">
        <v>0.7</v>
      </c>
      <c r="K28" s="11"/>
      <c r="L28" s="11">
        <v>33</v>
      </c>
      <c r="M28" s="11" t="s">
        <v>84</v>
      </c>
      <c r="Q28" s="11"/>
      <c r="R28" s="13" t="s">
        <v>345</v>
      </c>
      <c r="S28" s="7" t="s">
        <v>346</v>
      </c>
    </row>
    <row r="29" spans="1:19">
      <c r="A29" s="11"/>
      <c r="B29" s="7" t="s">
        <v>347</v>
      </c>
      <c r="C29" s="7">
        <v>160</v>
      </c>
      <c r="K29" s="11"/>
      <c r="L29" s="11">
        <v>34</v>
      </c>
      <c r="M29" s="11" t="s">
        <v>84</v>
      </c>
      <c r="Q29" s="11"/>
      <c r="R29" s="13" t="s">
        <v>348</v>
      </c>
      <c r="S29" s="7" t="s">
        <v>349</v>
      </c>
    </row>
    <row r="30" spans="1:19">
      <c r="A30" s="11"/>
      <c r="B30" s="7" t="s">
        <v>350</v>
      </c>
      <c r="C30" s="7">
        <v>150</v>
      </c>
      <c r="K30" s="11"/>
      <c r="L30" s="11">
        <v>35</v>
      </c>
      <c r="M30" s="11" t="s">
        <v>84</v>
      </c>
      <c r="Q30" s="11"/>
      <c r="R30" s="13" t="s">
        <v>351</v>
      </c>
      <c r="S30" s="7" t="s">
        <v>352</v>
      </c>
    </row>
    <row r="31" spans="1:19">
      <c r="A31" s="11"/>
      <c r="B31" s="7" t="s">
        <v>353</v>
      </c>
      <c r="C31" s="7">
        <v>140</v>
      </c>
      <c r="F31" s="6" t="s">
        <v>354</v>
      </c>
      <c r="G31" s="166">
        <v>10</v>
      </c>
      <c r="K31" s="11"/>
      <c r="L31" s="11">
        <v>36</v>
      </c>
      <c r="M31" s="11" t="s">
        <v>84</v>
      </c>
      <c r="Q31" s="11"/>
      <c r="R31" s="13" t="s">
        <v>355</v>
      </c>
      <c r="S31" s="7" t="s">
        <v>356</v>
      </c>
    </row>
    <row r="32" spans="1:19">
      <c r="A32" s="11"/>
      <c r="B32" s="7" t="s">
        <v>357</v>
      </c>
      <c r="C32" s="7">
        <v>130</v>
      </c>
      <c r="F32" s="8"/>
      <c r="G32" s="167">
        <v>9</v>
      </c>
      <c r="K32" s="11"/>
      <c r="L32" s="11">
        <v>37</v>
      </c>
      <c r="M32" s="11" t="s">
        <v>84</v>
      </c>
      <c r="Q32" s="11"/>
      <c r="R32" s="13" t="s">
        <v>358</v>
      </c>
      <c r="S32" s="7" t="s">
        <v>359</v>
      </c>
    </row>
    <row r="33" spans="1:19">
      <c r="A33" s="11"/>
      <c r="B33" s="7" t="s">
        <v>360</v>
      </c>
      <c r="C33" s="7">
        <v>120</v>
      </c>
      <c r="F33" s="8"/>
      <c r="G33" s="167">
        <v>8</v>
      </c>
      <c r="K33" s="11"/>
      <c r="L33" s="11">
        <v>38</v>
      </c>
      <c r="M33" s="11" t="s">
        <v>84</v>
      </c>
      <c r="Q33" s="11"/>
      <c r="R33" s="13" t="s">
        <v>361</v>
      </c>
      <c r="S33" s="7" t="s">
        <v>362</v>
      </c>
    </row>
    <row r="34" spans="1:19">
      <c r="A34" s="11"/>
      <c r="B34" s="7" t="s">
        <v>363</v>
      </c>
      <c r="C34" s="7">
        <v>110</v>
      </c>
      <c r="F34" s="8"/>
      <c r="G34" s="167">
        <v>7</v>
      </c>
      <c r="K34" s="11"/>
      <c r="L34" s="11">
        <v>39</v>
      </c>
      <c r="M34" s="11" t="s">
        <v>84</v>
      </c>
      <c r="Q34" s="11"/>
      <c r="R34" s="13" t="s">
        <v>364</v>
      </c>
      <c r="S34" s="7" t="s">
        <v>365</v>
      </c>
    </row>
    <row r="35" spans="1:19">
      <c r="A35" s="12"/>
      <c r="B35" s="7" t="s">
        <v>366</v>
      </c>
      <c r="C35" s="7">
        <v>100</v>
      </c>
      <c r="F35" s="8"/>
      <c r="G35" s="167">
        <v>6</v>
      </c>
      <c r="K35" s="11"/>
      <c r="L35" s="11">
        <v>40</v>
      </c>
      <c r="M35" s="11" t="s">
        <v>367</v>
      </c>
      <c r="Q35" s="11"/>
      <c r="R35" s="13" t="s">
        <v>368</v>
      </c>
      <c r="S35" s="7" t="s">
        <v>369</v>
      </c>
    </row>
    <row r="36" spans="1:19">
      <c r="B36" s="2" t="s">
        <v>370</v>
      </c>
      <c r="F36" s="8"/>
      <c r="G36" s="167">
        <v>5</v>
      </c>
      <c r="K36" s="11"/>
      <c r="L36" s="11">
        <v>41</v>
      </c>
      <c r="M36" s="11" t="s">
        <v>367</v>
      </c>
      <c r="Q36" s="11"/>
      <c r="R36" s="13" t="s">
        <v>371</v>
      </c>
      <c r="S36" s="7" t="s">
        <v>372</v>
      </c>
    </row>
    <row r="37" spans="1:19">
      <c r="F37" s="8"/>
      <c r="G37" s="167">
        <v>4</v>
      </c>
      <c r="K37" s="11"/>
      <c r="L37" s="11">
        <v>42</v>
      </c>
      <c r="M37" s="11" t="s">
        <v>367</v>
      </c>
      <c r="Q37" s="11"/>
      <c r="R37" s="13" t="s">
        <v>373</v>
      </c>
      <c r="S37" s="7" t="s">
        <v>374</v>
      </c>
    </row>
    <row r="38" spans="1:19">
      <c r="F38" s="8"/>
      <c r="G38" s="167">
        <v>3</v>
      </c>
      <c r="K38" s="11"/>
      <c r="L38" s="11">
        <v>43</v>
      </c>
      <c r="M38" s="11" t="s">
        <v>367</v>
      </c>
      <c r="Q38" s="11"/>
      <c r="R38" s="13" t="s">
        <v>375</v>
      </c>
      <c r="S38" s="7" t="s">
        <v>376</v>
      </c>
    </row>
    <row r="39" spans="1:19">
      <c r="F39" s="8"/>
      <c r="G39" s="167">
        <v>2</v>
      </c>
      <c r="K39" s="11"/>
      <c r="L39" s="11">
        <v>44</v>
      </c>
      <c r="M39" s="11" t="s">
        <v>367</v>
      </c>
      <c r="Q39" s="11"/>
      <c r="R39" s="13" t="s">
        <v>377</v>
      </c>
      <c r="S39" s="7" t="s">
        <v>378</v>
      </c>
    </row>
    <row r="40" spans="1:19">
      <c r="F40" s="8"/>
      <c r="G40" s="167">
        <v>1</v>
      </c>
      <c r="K40" s="11"/>
      <c r="L40" s="11">
        <v>45</v>
      </c>
      <c r="M40" s="11" t="s">
        <v>367</v>
      </c>
      <c r="Q40" s="11"/>
      <c r="R40" s="13" t="s">
        <v>379</v>
      </c>
      <c r="S40" s="7" t="s">
        <v>380</v>
      </c>
    </row>
    <row r="41" spans="1:19">
      <c r="F41" s="8"/>
      <c r="G41" s="167">
        <v>0</v>
      </c>
      <c r="K41" s="11"/>
      <c r="L41" s="11">
        <v>46</v>
      </c>
      <c r="M41" s="11" t="s">
        <v>367</v>
      </c>
      <c r="Q41" s="12"/>
      <c r="R41" s="13" t="s">
        <v>381</v>
      </c>
      <c r="S41" s="7" t="s">
        <v>382</v>
      </c>
    </row>
    <row r="42" spans="1:19">
      <c r="F42" s="8"/>
      <c r="G42" s="167">
        <v>-1</v>
      </c>
      <c r="K42" s="11"/>
      <c r="L42" s="11">
        <v>47</v>
      </c>
      <c r="M42" s="11" t="s">
        <v>367</v>
      </c>
    </row>
    <row r="43" spans="1:19">
      <c r="F43" s="8"/>
      <c r="G43" s="167">
        <v>-2</v>
      </c>
      <c r="K43" s="11"/>
      <c r="L43" s="11">
        <v>48</v>
      </c>
      <c r="M43" s="11" t="s">
        <v>367</v>
      </c>
    </row>
    <row r="44" spans="1:19">
      <c r="F44" s="8"/>
      <c r="G44" s="167">
        <v>-3</v>
      </c>
      <c r="K44" s="11"/>
      <c r="L44" s="11">
        <v>49</v>
      </c>
      <c r="M44" s="11" t="s">
        <v>367</v>
      </c>
    </row>
    <row r="45" spans="1:19">
      <c r="F45" s="8"/>
      <c r="G45" s="167">
        <v>-4</v>
      </c>
      <c r="K45" s="11"/>
      <c r="L45" s="11">
        <v>50</v>
      </c>
      <c r="M45" s="11" t="s">
        <v>367</v>
      </c>
    </row>
    <row r="46" spans="1:19">
      <c r="F46" s="8"/>
      <c r="G46" s="167">
        <v>-5</v>
      </c>
      <c r="K46" s="11"/>
      <c r="L46" s="11">
        <v>51</v>
      </c>
      <c r="M46" s="11" t="s">
        <v>367</v>
      </c>
    </row>
    <row r="47" spans="1:19">
      <c r="F47" s="8"/>
      <c r="G47" s="167">
        <v>-6</v>
      </c>
      <c r="K47" s="11"/>
      <c r="L47" s="11">
        <v>52</v>
      </c>
      <c r="M47" s="11" t="s">
        <v>367</v>
      </c>
    </row>
    <row r="48" spans="1:19">
      <c r="F48" s="8"/>
      <c r="G48" s="167">
        <v>-7</v>
      </c>
      <c r="K48" s="11"/>
      <c r="L48" s="11">
        <v>53</v>
      </c>
      <c r="M48" s="11" t="s">
        <v>367</v>
      </c>
    </row>
    <row r="49" spans="6:13">
      <c r="F49" s="8"/>
      <c r="G49" s="167">
        <v>-8</v>
      </c>
      <c r="K49" s="11"/>
      <c r="L49" s="11">
        <v>54</v>
      </c>
      <c r="M49" s="11" t="s">
        <v>367</v>
      </c>
    </row>
    <row r="50" spans="6:13">
      <c r="F50" s="8"/>
      <c r="G50" s="167">
        <v>-9</v>
      </c>
      <c r="K50" s="11"/>
      <c r="L50" s="11">
        <v>55</v>
      </c>
      <c r="M50" s="11" t="s">
        <v>367</v>
      </c>
    </row>
    <row r="51" spans="6:13">
      <c r="F51" s="9"/>
      <c r="G51" s="168">
        <v>-10</v>
      </c>
      <c r="K51" s="11"/>
      <c r="L51" s="11">
        <v>56</v>
      </c>
      <c r="M51" s="11" t="s">
        <v>367</v>
      </c>
    </row>
    <row r="52" spans="6:13">
      <c r="K52" s="11"/>
      <c r="L52" s="11">
        <v>57</v>
      </c>
      <c r="M52" s="11" t="s">
        <v>367</v>
      </c>
    </row>
    <row r="53" spans="6:13">
      <c r="K53" s="11"/>
      <c r="L53" s="11">
        <v>58</v>
      </c>
      <c r="M53" s="11" t="s">
        <v>367</v>
      </c>
    </row>
    <row r="54" spans="6:13">
      <c r="K54" s="11"/>
      <c r="L54" s="11">
        <v>59</v>
      </c>
      <c r="M54" s="11" t="s">
        <v>367</v>
      </c>
    </row>
    <row r="55" spans="6:13">
      <c r="K55" s="11"/>
      <c r="L55" s="11">
        <v>60</v>
      </c>
      <c r="M55" s="11" t="s">
        <v>76</v>
      </c>
    </row>
    <row r="56" spans="6:13">
      <c r="K56" s="11"/>
      <c r="L56" s="11">
        <v>61</v>
      </c>
      <c r="M56" s="11" t="s">
        <v>76</v>
      </c>
    </row>
    <row r="57" spans="6:13">
      <c r="K57" s="11"/>
      <c r="L57" s="11">
        <v>62</v>
      </c>
      <c r="M57" s="11" t="s">
        <v>76</v>
      </c>
    </row>
    <row r="58" spans="6:13">
      <c r="K58" s="11"/>
      <c r="L58" s="11">
        <v>63</v>
      </c>
      <c r="M58" s="11" t="s">
        <v>76</v>
      </c>
    </row>
    <row r="59" spans="6:13">
      <c r="K59" s="11"/>
      <c r="L59" s="11">
        <v>64</v>
      </c>
      <c r="M59" s="11" t="s">
        <v>76</v>
      </c>
    </row>
    <row r="60" spans="6:13">
      <c r="K60" s="11"/>
      <c r="L60" s="11">
        <v>65</v>
      </c>
      <c r="M60" s="11" t="s">
        <v>76</v>
      </c>
    </row>
    <row r="61" spans="6:13">
      <c r="K61" s="11"/>
      <c r="L61" s="11">
        <v>66</v>
      </c>
      <c r="M61" s="11" t="s">
        <v>76</v>
      </c>
    </row>
    <row r="62" spans="6:13">
      <c r="K62" s="11"/>
      <c r="L62" s="11">
        <v>67</v>
      </c>
      <c r="M62" s="11" t="s">
        <v>76</v>
      </c>
    </row>
    <row r="63" spans="6:13">
      <c r="K63" s="11"/>
      <c r="L63" s="11">
        <v>68</v>
      </c>
      <c r="M63" s="11" t="s">
        <v>76</v>
      </c>
    </row>
    <row r="64" spans="6:13">
      <c r="K64" s="11"/>
      <c r="L64" s="11">
        <v>69</v>
      </c>
      <c r="M64" s="11" t="s">
        <v>76</v>
      </c>
    </row>
    <row r="65" spans="11:13">
      <c r="K65" s="11"/>
      <c r="L65" s="11">
        <v>70</v>
      </c>
      <c r="M65" s="11" t="s">
        <v>76</v>
      </c>
    </row>
    <row r="66" spans="11:13">
      <c r="K66" s="11"/>
      <c r="L66" s="11">
        <v>71</v>
      </c>
      <c r="M66" s="11" t="s">
        <v>76</v>
      </c>
    </row>
    <row r="67" spans="11:13">
      <c r="K67" s="11"/>
      <c r="L67" s="11">
        <v>72</v>
      </c>
      <c r="M67" s="11" t="s">
        <v>76</v>
      </c>
    </row>
    <row r="68" spans="11:13">
      <c r="K68" s="11"/>
      <c r="L68" s="11">
        <v>73</v>
      </c>
      <c r="M68" s="11" t="s">
        <v>76</v>
      </c>
    </row>
    <row r="69" spans="11:13">
      <c r="K69" s="11"/>
      <c r="L69" s="11">
        <v>74</v>
      </c>
      <c r="M69" s="11" t="s">
        <v>76</v>
      </c>
    </row>
    <row r="70" spans="11:13">
      <c r="K70" s="11"/>
      <c r="L70" s="11">
        <v>75</v>
      </c>
      <c r="M70" s="11" t="s">
        <v>383</v>
      </c>
    </row>
    <row r="71" spans="11:13">
      <c r="K71" s="11"/>
      <c r="L71" s="11">
        <v>76</v>
      </c>
      <c r="M71" s="11" t="s">
        <v>383</v>
      </c>
    </row>
    <row r="72" spans="11:13">
      <c r="K72" s="11"/>
      <c r="L72" s="11">
        <v>77</v>
      </c>
      <c r="M72" s="11" t="s">
        <v>383</v>
      </c>
    </row>
    <row r="73" spans="11:13">
      <c r="K73" s="11"/>
      <c r="L73" s="11">
        <v>78</v>
      </c>
      <c r="M73" s="11" t="s">
        <v>383</v>
      </c>
    </row>
    <row r="74" spans="11:13">
      <c r="K74" s="11"/>
      <c r="L74" s="11">
        <v>79</v>
      </c>
      <c r="M74" s="11" t="s">
        <v>383</v>
      </c>
    </row>
    <row r="75" spans="11:13">
      <c r="K75" s="11"/>
      <c r="L75" s="11">
        <v>80</v>
      </c>
      <c r="M75" s="11" t="s">
        <v>383</v>
      </c>
    </row>
    <row r="76" spans="11:13">
      <c r="K76" s="11"/>
      <c r="L76" s="11">
        <v>81</v>
      </c>
      <c r="M76" s="11" t="s">
        <v>383</v>
      </c>
    </row>
    <row r="77" spans="11:13">
      <c r="K77" s="11"/>
      <c r="L77" s="11">
        <v>82</v>
      </c>
      <c r="M77" s="11" t="s">
        <v>383</v>
      </c>
    </row>
    <row r="78" spans="11:13">
      <c r="K78" s="11"/>
      <c r="L78" s="11">
        <v>83</v>
      </c>
      <c r="M78" s="11" t="s">
        <v>383</v>
      </c>
    </row>
    <row r="79" spans="11:13">
      <c r="K79" s="11"/>
      <c r="L79" s="11">
        <v>84</v>
      </c>
      <c r="M79" s="11" t="s">
        <v>383</v>
      </c>
    </row>
    <row r="80" spans="11:13">
      <c r="K80" s="11"/>
      <c r="L80" s="11">
        <v>85</v>
      </c>
      <c r="M80" s="11" t="s">
        <v>383</v>
      </c>
    </row>
    <row r="81" spans="11:13">
      <c r="K81" s="11"/>
      <c r="L81" s="11">
        <v>86</v>
      </c>
      <c r="M81" s="11" t="s">
        <v>383</v>
      </c>
    </row>
    <row r="82" spans="11:13">
      <c r="K82" s="11"/>
      <c r="L82" s="11">
        <v>87</v>
      </c>
      <c r="M82" s="11" t="s">
        <v>383</v>
      </c>
    </row>
    <row r="83" spans="11:13">
      <c r="K83" s="11"/>
      <c r="L83" s="11">
        <v>88</v>
      </c>
      <c r="M83" s="11" t="s">
        <v>383</v>
      </c>
    </row>
    <row r="84" spans="11:13">
      <c r="K84" s="11"/>
      <c r="L84" s="11">
        <v>89</v>
      </c>
      <c r="M84" s="11" t="s">
        <v>383</v>
      </c>
    </row>
    <row r="85" spans="11:13">
      <c r="K85" s="11"/>
      <c r="L85" s="11">
        <v>90</v>
      </c>
      <c r="M85" s="11" t="s">
        <v>383</v>
      </c>
    </row>
    <row r="86" spans="11:13">
      <c r="K86" s="11"/>
      <c r="L86" s="11">
        <v>91</v>
      </c>
      <c r="M86" s="11" t="s">
        <v>383</v>
      </c>
    </row>
    <row r="87" spans="11:13">
      <c r="K87" s="11"/>
      <c r="L87" s="11">
        <v>92</v>
      </c>
      <c r="M87" s="11" t="s">
        <v>383</v>
      </c>
    </row>
    <row r="88" spans="11:13">
      <c r="K88" s="11"/>
      <c r="L88" s="11">
        <v>93</v>
      </c>
      <c r="M88" s="11" t="s">
        <v>383</v>
      </c>
    </row>
    <row r="89" spans="11:13">
      <c r="K89" s="11"/>
      <c r="L89" s="11">
        <v>94</v>
      </c>
      <c r="M89" s="11" t="s">
        <v>383</v>
      </c>
    </row>
    <row r="90" spans="11:13">
      <c r="K90" s="11"/>
      <c r="L90" s="11">
        <v>95</v>
      </c>
      <c r="M90" s="11" t="s">
        <v>68</v>
      </c>
    </row>
    <row r="91" spans="11:13">
      <c r="K91" s="11"/>
      <c r="L91" s="11">
        <v>96</v>
      </c>
      <c r="M91" s="11" t="s">
        <v>68</v>
      </c>
    </row>
    <row r="92" spans="11:13">
      <c r="K92" s="11"/>
      <c r="L92" s="11">
        <v>97</v>
      </c>
      <c r="M92" s="11" t="s">
        <v>68</v>
      </c>
    </row>
    <row r="93" spans="11:13">
      <c r="K93" s="11"/>
      <c r="L93" s="11">
        <v>98</v>
      </c>
      <c r="M93" s="11" t="s">
        <v>68</v>
      </c>
    </row>
    <row r="94" spans="11:13">
      <c r="K94" s="11"/>
      <c r="L94" s="11">
        <v>99</v>
      </c>
      <c r="M94" s="11" t="s">
        <v>68</v>
      </c>
    </row>
    <row r="95" spans="11:13">
      <c r="K95" s="11"/>
      <c r="L95" s="11">
        <v>100</v>
      </c>
      <c r="M95" s="11" t="s">
        <v>68</v>
      </c>
    </row>
    <row r="96" spans="11:13">
      <c r="K96" s="11"/>
      <c r="L96" s="11">
        <v>101</v>
      </c>
      <c r="M96" s="11" t="s">
        <v>68</v>
      </c>
    </row>
    <row r="97" spans="11:13">
      <c r="K97" s="11"/>
      <c r="L97" s="11">
        <v>102</v>
      </c>
      <c r="M97" s="11" t="s">
        <v>68</v>
      </c>
    </row>
    <row r="98" spans="11:13">
      <c r="K98" s="11"/>
      <c r="L98" s="11">
        <v>103</v>
      </c>
      <c r="M98" s="11" t="s">
        <v>68</v>
      </c>
    </row>
    <row r="99" spans="11:13">
      <c r="K99" s="11"/>
      <c r="L99" s="11">
        <v>104</v>
      </c>
      <c r="M99" s="11" t="s">
        <v>68</v>
      </c>
    </row>
    <row r="100" spans="11:13">
      <c r="K100" s="12"/>
      <c r="L100" s="12">
        <v>105</v>
      </c>
      <c r="M100" s="12" t="s">
        <v>68</v>
      </c>
    </row>
  </sheetData>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F720F39649C3439DC45ECA4D817BC6" ma:contentTypeVersion="12" ma:contentTypeDescription="Create a new document." ma:contentTypeScope="" ma:versionID="b98b9b48149e1eacd12f6b4af8f48200">
  <xsd:schema xmlns:xsd="http://www.w3.org/2001/XMLSchema" xmlns:xs="http://www.w3.org/2001/XMLSchema" xmlns:p="http://schemas.microsoft.com/office/2006/metadata/properties" xmlns:ns2="777275d2-440b-4c28-a5a7-ccc4f00e7d4b" xmlns:ns3="89a43224-d7f0-4d34-ad24-93936305ac03" targetNamespace="http://schemas.microsoft.com/office/2006/metadata/properties" ma:root="true" ma:fieldsID="592c87c2b99d00994f4c04de1bdb2a0f" ns2:_="" ns3:_="">
    <xsd:import namespace="777275d2-440b-4c28-a5a7-ccc4f00e7d4b"/>
    <xsd:import namespace="89a43224-d7f0-4d34-ad24-93936305ac0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275d2-440b-4c28-a5a7-ccc4f00e7d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0f206c7-754d-4da3-94e0-9fb4fb6fe49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9a43224-d7f0-4d34-ad24-93936305ac0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c04c9b03-8d43-4757-92e2-2f4be8c42ec7}" ma:internalName="TaxCatchAll" ma:showField="CatchAllData" ma:web="89a43224-d7f0-4d34-ad24-93936305ac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7275d2-440b-4c28-a5a7-ccc4f00e7d4b">
      <Terms xmlns="http://schemas.microsoft.com/office/infopath/2007/PartnerControls"/>
    </lcf76f155ced4ddcb4097134ff3c332f>
    <TaxCatchAll xmlns="89a43224-d7f0-4d34-ad24-93936305ac03" xsi:nil="true"/>
    <SharedWithUsers xmlns="89a43224-d7f0-4d34-ad24-93936305ac03">
      <UserInfo>
        <DisplayName>大矢 祐司</DisplayName>
        <AccountId>42</AccountId>
        <AccountType/>
      </UserInfo>
    </SharedWithUsers>
  </documentManagement>
</p:properties>
</file>

<file path=customXml/itemProps1.xml><?xml version="1.0" encoding="utf-8"?>
<ds:datastoreItem xmlns:ds="http://schemas.openxmlformats.org/officeDocument/2006/customXml" ds:itemID="{22006F93-F1FD-4938-8D27-D1AF45EC56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275d2-440b-4c28-a5a7-ccc4f00e7d4b"/>
    <ds:schemaRef ds:uri="89a43224-d7f0-4d34-ad24-93936305ac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279930-E449-41BA-9F0C-42561A38B400}">
  <ds:schemaRefs>
    <ds:schemaRef ds:uri="http://schemas.microsoft.com/sharepoint/v3/contenttype/forms"/>
  </ds:schemaRefs>
</ds:datastoreItem>
</file>

<file path=customXml/itemProps3.xml><?xml version="1.0" encoding="utf-8"?>
<ds:datastoreItem xmlns:ds="http://schemas.openxmlformats.org/officeDocument/2006/customXml" ds:itemID="{7A6EE73C-6DCC-4A5F-B760-FF126CA5FC98}">
  <ds:schemaRefs>
    <ds:schemaRef ds:uri="http://schemas.microsoft.com/office/2006/metadata/properties"/>
    <ds:schemaRef ds:uri="http://schemas.microsoft.com/office/infopath/2007/PartnerControls"/>
    <ds:schemaRef ds:uri="777275d2-440b-4c28-a5a7-ccc4f00e7d4b"/>
    <ds:schemaRef ds:uri="89a43224-d7f0-4d34-ad24-93936305ac0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業績評価ｼｰﾄ</vt:lpstr>
      <vt:lpstr>ｺﾝﾋﾟﾃﾝｼｰ評価ｼｰﾄ_管理職・役職者</vt:lpstr>
      <vt:lpstr>ｺﾝﾋﾟﾃﾝｼｰ評価ｼｰﾄ_一般職</vt:lpstr>
      <vt:lpstr>ｷｬﾘｱﾋﾞｼﾞｮﾝｼｰﾄ</vt:lpstr>
      <vt:lpstr>処遇コース・職場異動自己申告</vt:lpstr>
      <vt:lpstr>改訂履歴</vt:lpstr>
      <vt:lpstr>設定</vt:lpstr>
      <vt:lpstr>改訂履歴!Print_Area</vt:lpstr>
      <vt:lpstr>処遇コース・職場異動自己申告!Print_Area</vt:lpstr>
      <vt:lpstr>ｸﾞﾚｰﾄﾞ</vt:lpstr>
      <vt:lpstr>区分</vt:lpstr>
      <vt:lpstr>職種</vt:lpstr>
      <vt:lpstr>評価対象判定</vt:lpstr>
      <vt:lpstr>役職</vt:lpstr>
    </vt:vector>
  </TitlesOfParts>
  <Manager/>
  <Company>総務部</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中村 洋太</cp:lastModifiedBy>
  <cp:revision/>
  <dcterms:created xsi:type="dcterms:W3CDTF">2004-01-12T01:30:26Z</dcterms:created>
  <dcterms:modified xsi:type="dcterms:W3CDTF">2024-05-15T22:15:28Z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0x01010068F720F39649C3439DC45ECA4D817BC6</vt:lpwstr>
  </property>
  <property fmtid="{D5CDD505-2E9C-101B-9397-08002B2CF9AE}" pid="5" name="MediaServiceImageTags">
    <vt:lpwstr/>
  </property>
</Properties>
</file>