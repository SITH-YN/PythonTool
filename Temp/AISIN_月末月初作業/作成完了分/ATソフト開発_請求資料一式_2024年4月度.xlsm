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53222"/>
  <mc:AlternateContent xmlns:mc="http://schemas.openxmlformats.org/markup-compatibility/2006">
    <mc:Choice Requires="x15">
      <x15ac:absPath xmlns:x15ac="http://schemas.microsoft.com/office/spreadsheetml/2010/11/ac" url="C:\Users\togashim-ne\Desktop\2024年4月請求資料\"/>
    </mc:Choice>
  </mc:AlternateContent>
  <bookViews>
    <workbookView xWindow="28680" yWindow="-120" windowWidth="29040" windowHeight="15996"/>
  </bookViews>
  <sheets>
    <sheet name="作業時間一覧" sheetId="28" r:id="rId1"/>
    <sheet name="作業時間一覧 (まともに計算)" sheetId="31" state="hidden" r:id="rId2"/>
    <sheet name="要員対応表" sheetId="24" r:id="rId3"/>
    <sheet name="24年4月" sheetId="32" r:id="rId4"/>
  </sheets>
  <definedNames>
    <definedName name="_xlnm._FilterDatabase" localSheetId="3" hidden="1">'24年4月'!$C$8:$C$13</definedName>
    <definedName name="_xlnm._FilterDatabase" localSheetId="1" hidden="1">'作業時間一覧 (まともに計算)'!$H$15:$K$49</definedName>
    <definedName name="_xlnm._FilterDatabase" localSheetId="2" hidden="1">要員対応表!$B$3:$M$32</definedName>
    <definedName name="_xlnm.Print_Area" localSheetId="3">'24年4月'!$A$1:$AQ$17</definedName>
    <definedName name="_xlnm.Print_Area" localSheetId="0">作業時間一覧!$B$1:$AA$46</definedName>
    <definedName name="_xlnm.Print_Area" localSheetId="1">'作業時間一覧 (まともに計算)'!$A$1:$X$55</definedName>
    <definedName name="_xlnm.Print_Area" localSheetId="2">要員対応表!$A$1:$I$33</definedName>
  </definedNames>
  <calcPr calcId="162913"/>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J46" i="28" l="1"/>
  <c r="I46" i="28"/>
  <c r="H46" i="28"/>
  <c r="J13" i="28"/>
  <c r="I14" i="28"/>
  <c r="I15" i="28"/>
  <c r="I16" i="28"/>
  <c r="I17" i="28"/>
  <c r="I18" i="28"/>
  <c r="I19" i="28"/>
  <c r="I20" i="28"/>
  <c r="I21" i="28"/>
  <c r="I22" i="28"/>
  <c r="I23" i="28"/>
  <c r="I24" i="28"/>
  <c r="I25" i="28"/>
  <c r="I26" i="28"/>
  <c r="I27" i="28"/>
  <c r="I28" i="28"/>
  <c r="I29" i="28"/>
  <c r="I30" i="28"/>
  <c r="I31" i="28"/>
  <c r="I32" i="28"/>
  <c r="I33" i="28"/>
  <c r="I34" i="28"/>
  <c r="I35" i="28"/>
  <c r="I36" i="28"/>
  <c r="I37" i="28"/>
  <c r="I38" i="28"/>
  <c r="I39" i="28"/>
  <c r="I40" i="28"/>
  <c r="I41" i="28"/>
  <c r="I13" i="28"/>
  <c r="H14" i="28"/>
  <c r="H15" i="28"/>
  <c r="H16" i="28"/>
  <c r="H17" i="28"/>
  <c r="H18" i="28"/>
  <c r="H19" i="28"/>
  <c r="H20" i="28"/>
  <c r="H21" i="28"/>
  <c r="H22" i="28"/>
  <c r="H23" i="28"/>
  <c r="H24" i="28"/>
  <c r="H25" i="28"/>
  <c r="H26" i="28"/>
  <c r="H27" i="28"/>
  <c r="H28" i="28"/>
  <c r="H29" i="28"/>
  <c r="H30" i="28"/>
  <c r="H31" i="28"/>
  <c r="H32" i="28"/>
  <c r="H33" i="28"/>
  <c r="H34" i="28"/>
  <c r="H35" i="28"/>
  <c r="H36" i="28"/>
  <c r="H37" i="28"/>
  <c r="H38" i="28"/>
  <c r="H39" i="28"/>
  <c r="H40" i="28"/>
  <c r="H41" i="28"/>
  <c r="H13" i="28"/>
  <c r="E13" i="28"/>
  <c r="D13" i="28"/>
  <c r="F13" i="28" s="1"/>
  <c r="G13" i="28" s="1"/>
  <c r="C14" i="28"/>
  <c r="C15" i="28"/>
  <c r="C16" i="28"/>
  <c r="C17" i="28"/>
  <c r="C18" i="28"/>
  <c r="C19" i="28"/>
  <c r="C20" i="28"/>
  <c r="C21" i="28"/>
  <c r="C22" i="28"/>
  <c r="C23" i="28"/>
  <c r="C24" i="28"/>
  <c r="C25" i="28"/>
  <c r="C26" i="28"/>
  <c r="C27" i="28"/>
  <c r="C28" i="28"/>
  <c r="C29" i="28"/>
  <c r="C30" i="28"/>
  <c r="C31" i="28"/>
  <c r="C32" i="28"/>
  <c r="C33" i="28"/>
  <c r="C34" i="28"/>
  <c r="C35" i="28"/>
  <c r="C36" i="28"/>
  <c r="C37" i="28"/>
  <c r="C38" i="28"/>
  <c r="C39" i="28"/>
  <c r="C40" i="28"/>
  <c r="C41" i="28"/>
  <c r="C13" i="28"/>
  <c r="AE41" i="28" l="1"/>
  <c r="H12" i="28"/>
  <c r="AE7" i="32"/>
  <c r="AG7" i="32" s="1"/>
  <c r="AI7" i="32" s="1"/>
  <c r="AL7" i="32"/>
  <c r="AN7" i="32" l="1"/>
  <c r="U42" i="28"/>
  <c r="T42" i="28"/>
  <c r="S42" i="28"/>
  <c r="R42" i="28"/>
  <c r="W42" i="28"/>
  <c r="X42" i="28"/>
  <c r="Y42" i="28"/>
  <c r="Z42" i="28"/>
  <c r="AA42" i="28"/>
  <c r="V42" i="28"/>
  <c r="AP7" i="32" l="1"/>
  <c r="M12" i="28" l="1"/>
  <c r="M42" i="28"/>
  <c r="J14" i="28" l="1"/>
  <c r="J15" i="28"/>
  <c r="J16" i="28"/>
  <c r="J17" i="28"/>
  <c r="J18" i="28"/>
  <c r="J19" i="28"/>
  <c r="J20" i="28"/>
  <c r="J21" i="28"/>
  <c r="J22" i="28"/>
  <c r="J23" i="28"/>
  <c r="J24" i="28"/>
  <c r="J25" i="28"/>
  <c r="J26" i="28"/>
  <c r="J27" i="28"/>
  <c r="J28" i="28"/>
  <c r="J29" i="28"/>
  <c r="J30" i="28"/>
  <c r="J31" i="28"/>
  <c r="J32" i="28"/>
  <c r="J33" i="28"/>
  <c r="J34" i="28"/>
  <c r="J35" i="28"/>
  <c r="J36" i="28"/>
  <c r="J37" i="28"/>
  <c r="J38" i="28"/>
  <c r="J39" i="28"/>
  <c r="J40" i="28"/>
  <c r="J41" i="28"/>
  <c r="J12" i="28"/>
  <c r="I12" i="28"/>
  <c r="J45" i="28"/>
  <c r="I45" i="28"/>
  <c r="H45" i="28"/>
  <c r="P11" i="28"/>
  <c r="N11" i="28"/>
  <c r="L11" i="28"/>
  <c r="L12" i="28"/>
  <c r="N12" i="28"/>
  <c r="I42" i="28" l="1"/>
  <c r="E6" i="28" s="1"/>
  <c r="X7" i="32"/>
  <c r="Z7" i="32" s="1"/>
  <c r="AB7" i="32" s="1"/>
  <c r="AE22" i="28" l="1"/>
  <c r="E22" i="28"/>
  <c r="AE23" i="28"/>
  <c r="E23" i="28"/>
  <c r="AE24" i="28"/>
  <c r="E24" i="28"/>
  <c r="AE21" i="28" l="1"/>
  <c r="E21" i="28"/>
  <c r="AE14" i="28" l="1"/>
  <c r="E14" i="28"/>
  <c r="E41" i="28" l="1"/>
  <c r="E40" i="28"/>
  <c r="E39" i="28"/>
  <c r="E38" i="28"/>
  <c r="E37" i="28"/>
  <c r="E36" i="28"/>
  <c r="E35" i="28"/>
  <c r="E34" i="28"/>
  <c r="E33" i="28"/>
  <c r="E32" i="28"/>
  <c r="E31" i="28"/>
  <c r="E30" i="28"/>
  <c r="E29" i="28"/>
  <c r="E28" i="28"/>
  <c r="E27" i="28"/>
  <c r="E26" i="28"/>
  <c r="E25" i="28"/>
  <c r="E20" i="28"/>
  <c r="E19" i="28"/>
  <c r="E18" i="28"/>
  <c r="E17" i="28"/>
  <c r="E16" i="28"/>
  <c r="E15" i="28"/>
  <c r="AE40" i="28"/>
  <c r="AE39" i="28"/>
  <c r="AE38" i="28"/>
  <c r="AE37" i="28"/>
  <c r="AE36" i="28"/>
  <c r="AE35" i="28"/>
  <c r="AE34" i="28"/>
  <c r="AE33" i="28"/>
  <c r="AE32" i="28"/>
  <c r="AE31" i="28"/>
  <c r="AE30" i="28"/>
  <c r="AE29" i="28"/>
  <c r="AE28" i="28"/>
  <c r="AE27" i="28"/>
  <c r="AE26" i="28"/>
  <c r="AE25" i="28"/>
  <c r="AE20" i="28"/>
  <c r="AE19" i="28"/>
  <c r="AE18" i="28"/>
  <c r="AE17" i="28"/>
  <c r="AE16" i="28"/>
  <c r="AE15" i="28"/>
  <c r="AE13" i="28"/>
  <c r="K4" i="24"/>
  <c r="P12" i="28" l="1"/>
  <c r="O12" i="28" l="1"/>
  <c r="C10" i="28" l="1"/>
  <c r="E10" i="28"/>
  <c r="D23" i="28" l="1"/>
  <c r="F23" i="28" s="1"/>
  <c r="G23" i="28" s="1"/>
  <c r="AB23" i="28" s="1"/>
  <c r="D22" i="28"/>
  <c r="F22" i="28" s="1"/>
  <c r="G22" i="28" s="1"/>
  <c r="AB22" i="28" s="1"/>
  <c r="D21" i="28"/>
  <c r="F21" i="28" s="1"/>
  <c r="G21" i="28" s="1"/>
  <c r="AB21" i="28" s="1"/>
  <c r="D24" i="28"/>
  <c r="F24" i="28" s="1"/>
  <c r="G24" i="28" s="1"/>
  <c r="AB24" i="28" s="1"/>
  <c r="D14" i="28"/>
  <c r="F14" i="28" s="1"/>
  <c r="G14" i="28" s="1"/>
  <c r="AB14" i="28" s="1"/>
  <c r="D19" i="28"/>
  <c r="D18" i="28"/>
  <c r="D35" i="28"/>
  <c r="D27" i="28"/>
  <c r="D26" i="28"/>
  <c r="F26" i="28" l="1"/>
  <c r="G26" i="28" s="1"/>
  <c r="AB26" i="28" s="1"/>
  <c r="F27" i="28"/>
  <c r="G27" i="28" s="1"/>
  <c r="AB27" i="28" s="1"/>
  <c r="F35" i="28"/>
  <c r="G35" i="28" s="1"/>
  <c r="AB35" i="28" s="1"/>
  <c r="F18" i="28"/>
  <c r="G18" i="28" s="1"/>
  <c r="AB18" i="28" s="1"/>
  <c r="F19" i="28"/>
  <c r="G19" i="28" s="1"/>
  <c r="AB19" i="28" s="1"/>
  <c r="P42" i="28" l="1"/>
  <c r="O42" i="28"/>
  <c r="N42" i="28"/>
  <c r="L42" i="28"/>
  <c r="AU6" i="28" l="1"/>
  <c r="L19" i="31" l="1"/>
  <c r="O30" i="31"/>
  <c r="Q30" i="31" s="1"/>
  <c r="L34" i="31"/>
  <c r="L41" i="31"/>
  <c r="P41" i="31"/>
  <c r="P42" i="31"/>
  <c r="O48" i="31"/>
  <c r="Q48" i="31" s="1"/>
  <c r="Q42" i="31"/>
  <c r="L42" i="31" s="1"/>
  <c r="O35" i="31"/>
  <c r="Q35" i="31" s="1"/>
  <c r="O31" i="31"/>
  <c r="Q31" i="31" s="1"/>
  <c r="O20" i="31"/>
  <c r="Q20" i="31" s="1"/>
  <c r="Y48" i="31" l="1"/>
  <c r="I48" i="31"/>
  <c r="C48" i="31" s="1"/>
  <c r="E48" i="31"/>
  <c r="Y47" i="31"/>
  <c r="I47" i="31"/>
  <c r="C47" i="31" s="1"/>
  <c r="E47" i="31"/>
  <c r="Y46" i="31"/>
  <c r="I46" i="31"/>
  <c r="C46" i="31" s="1"/>
  <c r="E46" i="31"/>
  <c r="Y45" i="31"/>
  <c r="I45" i="31"/>
  <c r="C45" i="31" s="1"/>
  <c r="E45" i="31"/>
  <c r="Y44" i="31"/>
  <c r="I44" i="31"/>
  <c r="C44" i="31" s="1"/>
  <c r="E44" i="31"/>
  <c r="Y43" i="31"/>
  <c r="I43" i="31"/>
  <c r="C43" i="31" s="1"/>
  <c r="E43" i="31"/>
  <c r="Y42" i="31"/>
  <c r="I42" i="31"/>
  <c r="C42" i="31" s="1"/>
  <c r="E42" i="31"/>
  <c r="Y41" i="31"/>
  <c r="I41" i="31"/>
  <c r="C41" i="31" s="1"/>
  <c r="E41" i="31"/>
  <c r="Y40" i="31"/>
  <c r="I40" i="31"/>
  <c r="C40" i="31" s="1"/>
  <c r="E40" i="31"/>
  <c r="Y39" i="31"/>
  <c r="I39" i="31"/>
  <c r="C39" i="31" s="1"/>
  <c r="E39" i="31"/>
  <c r="Y38" i="31"/>
  <c r="I38" i="31"/>
  <c r="C38" i="31" s="1"/>
  <c r="E38" i="31"/>
  <c r="Y37" i="31"/>
  <c r="I37" i="31"/>
  <c r="C37" i="31" s="1"/>
  <c r="E37" i="31"/>
  <c r="Y36" i="31"/>
  <c r="I36" i="31"/>
  <c r="C36" i="31" s="1"/>
  <c r="E36" i="31"/>
  <c r="Y35" i="31"/>
  <c r="I35" i="31"/>
  <c r="C35" i="31" s="1"/>
  <c r="E35" i="31"/>
  <c r="Y34" i="31"/>
  <c r="I34" i="31"/>
  <c r="C34" i="31" s="1"/>
  <c r="E34" i="31"/>
  <c r="Y33" i="31"/>
  <c r="I33" i="31"/>
  <c r="C33" i="31" s="1"/>
  <c r="E33" i="31"/>
  <c r="Y32" i="31"/>
  <c r="I32" i="31"/>
  <c r="C32" i="31" s="1"/>
  <c r="E32" i="31"/>
  <c r="Y31" i="31"/>
  <c r="I31" i="31"/>
  <c r="C31" i="31" s="1"/>
  <c r="E31" i="31"/>
  <c r="Y30" i="31"/>
  <c r="I30" i="31"/>
  <c r="C30" i="31" s="1"/>
  <c r="E30" i="31"/>
  <c r="Y29" i="31"/>
  <c r="I29" i="31"/>
  <c r="C29" i="31" s="1"/>
  <c r="E29" i="31"/>
  <c r="Y28" i="31"/>
  <c r="I28" i="31"/>
  <c r="C28" i="31" s="1"/>
  <c r="E28" i="31"/>
  <c r="Y27" i="31"/>
  <c r="I27" i="31"/>
  <c r="C27" i="31" s="1"/>
  <c r="E27" i="31"/>
  <c r="I26" i="31"/>
  <c r="C26" i="31" s="1"/>
  <c r="E26" i="31"/>
  <c r="Y25" i="31"/>
  <c r="I25" i="31"/>
  <c r="C25" i="31" s="1"/>
  <c r="E25" i="31"/>
  <c r="Y24" i="31"/>
  <c r="I24" i="31"/>
  <c r="C24" i="31" s="1"/>
  <c r="E24" i="31"/>
  <c r="Y23" i="31"/>
  <c r="I23" i="31"/>
  <c r="C23" i="31" s="1"/>
  <c r="E23" i="31"/>
  <c r="Y22" i="31"/>
  <c r="I22" i="31"/>
  <c r="C22" i="31" s="1"/>
  <c r="E22" i="31"/>
  <c r="Y21" i="31"/>
  <c r="I21" i="31"/>
  <c r="C21" i="31" s="1"/>
  <c r="E21" i="31"/>
  <c r="Y20" i="31"/>
  <c r="I20" i="31"/>
  <c r="C20" i="31" s="1"/>
  <c r="E20" i="31"/>
  <c r="Y19" i="31"/>
  <c r="I19" i="31"/>
  <c r="C19" i="31" s="1"/>
  <c r="E19" i="31"/>
  <c r="Y18" i="31"/>
  <c r="I18" i="31"/>
  <c r="C18" i="31" s="1"/>
  <c r="E18" i="31"/>
  <c r="Y17" i="31"/>
  <c r="I17" i="31"/>
  <c r="C17" i="31" s="1"/>
  <c r="E17" i="31"/>
  <c r="Y16" i="31"/>
  <c r="I16" i="31"/>
  <c r="C16" i="31" s="1"/>
  <c r="E16" i="31"/>
  <c r="U12" i="31"/>
  <c r="C12" i="31"/>
  <c r="D45" i="31" l="1"/>
  <c r="S45" i="31" s="1"/>
  <c r="D28" i="31"/>
  <c r="S28" i="31" s="1"/>
  <c r="D20" i="31"/>
  <c r="F20" i="31" s="1"/>
  <c r="G20" i="31" s="1"/>
  <c r="D43" i="31"/>
  <c r="S43" i="31" s="1"/>
  <c r="D26" i="31"/>
  <c r="P26" i="31" s="1"/>
  <c r="O26" i="31" s="1"/>
  <c r="L26" i="31" s="1"/>
  <c r="D16" i="31"/>
  <c r="S16" i="31" s="1"/>
  <c r="D32" i="31"/>
  <c r="S32" i="31" s="1"/>
  <c r="D40" i="31"/>
  <c r="S40" i="31" s="1"/>
  <c r="D42" i="31"/>
  <c r="N42" i="31" s="1"/>
  <c r="D23" i="31"/>
  <c r="S23" i="31" s="1"/>
  <c r="D31" i="31"/>
  <c r="F31" i="31" s="1"/>
  <c r="V31" i="31" s="1"/>
  <c r="D34" i="31"/>
  <c r="N34" i="31" s="1"/>
  <c r="D24" i="31"/>
  <c r="N24" i="31" s="1"/>
  <c r="D19" i="31"/>
  <c r="N19" i="31" s="1"/>
  <c r="D35" i="31"/>
  <c r="F35" i="31" s="1"/>
  <c r="D47" i="31"/>
  <c r="S47" i="31" s="1"/>
  <c r="D38" i="31"/>
  <c r="S38" i="31" s="1"/>
  <c r="D37" i="31"/>
  <c r="N37" i="31" s="1"/>
  <c r="D22" i="31"/>
  <c r="N22" i="31" s="1"/>
  <c r="D30" i="31"/>
  <c r="U30" i="31" s="1"/>
  <c r="D41" i="31"/>
  <c r="N41" i="31" s="1"/>
  <c r="D18" i="31"/>
  <c r="P18" i="31" s="1"/>
  <c r="O18" i="31" s="1"/>
  <c r="L18" i="31" s="1"/>
  <c r="D39" i="31"/>
  <c r="P39" i="31" s="1"/>
  <c r="O39" i="31" s="1"/>
  <c r="L39" i="31" s="1"/>
  <c r="D21" i="31"/>
  <c r="N21" i="31" s="1"/>
  <c r="D27" i="31"/>
  <c r="U27" i="31" s="1"/>
  <c r="D29" i="31"/>
  <c r="U29" i="31" s="1"/>
  <c r="D17" i="31"/>
  <c r="S17" i="31" s="1"/>
  <c r="D25" i="31"/>
  <c r="P25" i="31" s="1"/>
  <c r="O25" i="31" s="1"/>
  <c r="L25" i="31" s="1"/>
  <c r="D33" i="31"/>
  <c r="S33" i="31" s="1"/>
  <c r="D48" i="31"/>
  <c r="U48" i="31" s="1"/>
  <c r="D44" i="31"/>
  <c r="N44" i="31" s="1"/>
  <c r="D46" i="31"/>
  <c r="S46" i="31" s="1"/>
  <c r="D36" i="31"/>
  <c r="S36" i="31" s="1"/>
  <c r="U43" i="31" l="1"/>
  <c r="U28" i="31"/>
  <c r="F28" i="31"/>
  <c r="V28" i="31" s="1"/>
  <c r="F43" i="31"/>
  <c r="G43" i="31" s="1"/>
  <c r="F27" i="31"/>
  <c r="G27" i="31" s="1"/>
  <c r="S27" i="31"/>
  <c r="U45" i="31"/>
  <c r="U20" i="31"/>
  <c r="F16" i="31"/>
  <c r="U16" i="31" s="1"/>
  <c r="U19" i="31"/>
  <c r="U24" i="31"/>
  <c r="F19" i="31"/>
  <c r="G19" i="31" s="1"/>
  <c r="F30" i="31"/>
  <c r="G30" i="31" s="1"/>
  <c r="U32" i="31"/>
  <c r="F32" i="31"/>
  <c r="V32" i="31" s="1"/>
  <c r="F18" i="31"/>
  <c r="U18" i="31" s="1"/>
  <c r="F24" i="31"/>
  <c r="V24" i="31" s="1"/>
  <c r="F22" i="31"/>
  <c r="W22" i="31" s="1"/>
  <c r="F26" i="31"/>
  <c r="U26" i="31" s="1"/>
  <c r="F33" i="31"/>
  <c r="V33" i="31" s="1"/>
  <c r="U40" i="31"/>
  <c r="F40" i="31"/>
  <c r="W40" i="31" s="1"/>
  <c r="F21" i="31"/>
  <c r="W21" i="31" s="1"/>
  <c r="U21" i="31"/>
  <c r="F41" i="31"/>
  <c r="U41" i="31" s="1"/>
  <c r="F29" i="31"/>
  <c r="G29" i="31" s="1"/>
  <c r="U23" i="31"/>
  <c r="U35" i="31"/>
  <c r="F23" i="31"/>
  <c r="W23" i="31" s="1"/>
  <c r="F39" i="31"/>
  <c r="U39" i="31" s="1"/>
  <c r="F25" i="31"/>
  <c r="W25" i="31" s="1"/>
  <c r="U34" i="31"/>
  <c r="U22" i="31"/>
  <c r="U38" i="31"/>
  <c r="N29" i="31"/>
  <c r="G31" i="31"/>
  <c r="F34" i="31"/>
  <c r="W34" i="31" s="1"/>
  <c r="U17" i="31"/>
  <c r="U31" i="31"/>
  <c r="F17" i="31"/>
  <c r="W17" i="31" s="1"/>
  <c r="U37" i="31"/>
  <c r="F38" i="31"/>
  <c r="G38" i="31" s="1"/>
  <c r="F37" i="31"/>
  <c r="V37" i="31" s="1"/>
  <c r="F42" i="31"/>
  <c r="G42" i="31" s="1"/>
  <c r="W31" i="31"/>
  <c r="F48" i="31"/>
  <c r="W48" i="31" s="1"/>
  <c r="V20" i="31"/>
  <c r="W20" i="31"/>
  <c r="F36" i="31"/>
  <c r="U36" i="31"/>
  <c r="U46" i="31"/>
  <c r="F44" i="31"/>
  <c r="U44" i="31"/>
  <c r="G35" i="31"/>
  <c r="W35" i="31"/>
  <c r="V35" i="31"/>
  <c r="G28" i="31" l="1"/>
  <c r="W28" i="31"/>
  <c r="W16" i="31"/>
  <c r="V16" i="31"/>
  <c r="W19" i="31"/>
  <c r="V43" i="31"/>
  <c r="W43" i="31"/>
  <c r="W30" i="31"/>
  <c r="V27" i="31"/>
  <c r="W27" i="31"/>
  <c r="V30" i="31"/>
  <c r="G16" i="31"/>
  <c r="V19" i="31"/>
  <c r="W32" i="31"/>
  <c r="V22" i="31"/>
  <c r="W24" i="31"/>
  <c r="G24" i="31"/>
  <c r="V18" i="31"/>
  <c r="G32" i="31"/>
  <c r="G18" i="31"/>
  <c r="W18" i="31"/>
  <c r="G22" i="31"/>
  <c r="G26" i="31"/>
  <c r="V26" i="31"/>
  <c r="W26" i="31"/>
  <c r="U33" i="31"/>
  <c r="W33" i="31"/>
  <c r="G33" i="31"/>
  <c r="V21" i="31"/>
  <c r="G23" i="31"/>
  <c r="V23" i="31"/>
  <c r="G41" i="31"/>
  <c r="W41" i="31"/>
  <c r="G34" i="31"/>
  <c r="V34" i="31"/>
  <c r="V29" i="31"/>
  <c r="T31" i="31"/>
  <c r="G17" i="31"/>
  <c r="G40" i="31"/>
  <c r="V17" i="31"/>
  <c r="V40" i="31"/>
  <c r="G21" i="31"/>
  <c r="U25" i="31"/>
  <c r="G25" i="31"/>
  <c r="V41" i="31"/>
  <c r="W38" i="31"/>
  <c r="W29" i="31"/>
  <c r="W39" i="31"/>
  <c r="U42" i="31"/>
  <c r="V38" i="31"/>
  <c r="V25" i="31"/>
  <c r="V39" i="31"/>
  <c r="G39" i="31"/>
  <c r="W42" i="31"/>
  <c r="W37" i="31"/>
  <c r="V42" i="31"/>
  <c r="G37" i="31"/>
  <c r="T20" i="31"/>
  <c r="G48" i="31"/>
  <c r="V48" i="31"/>
  <c r="V36" i="31"/>
  <c r="W36" i="31"/>
  <c r="G36" i="31"/>
  <c r="T35" i="31"/>
  <c r="W44" i="31"/>
  <c r="V44" i="31"/>
  <c r="G44" i="31"/>
  <c r="T19" i="31" l="1"/>
  <c r="T28" i="31"/>
  <c r="T16" i="31"/>
  <c r="T43" i="31"/>
  <c r="T30" i="31"/>
  <c r="T27" i="31"/>
  <c r="T18" i="31"/>
  <c r="T32" i="31"/>
  <c r="T24" i="31"/>
  <c r="T22" i="31"/>
  <c r="T26" i="31"/>
  <c r="T33" i="31"/>
  <c r="T21" i="31"/>
  <c r="T23" i="31"/>
  <c r="T34" i="31"/>
  <c r="T41" i="31"/>
  <c r="T29" i="31"/>
  <c r="T17" i="31"/>
  <c r="T40" i="31"/>
  <c r="T38" i="31"/>
  <c r="T39" i="31"/>
  <c r="T25" i="31"/>
  <c r="T42" i="31"/>
  <c r="T37" i="31"/>
  <c r="T48" i="31"/>
  <c r="T44" i="31"/>
  <c r="T36" i="31"/>
  <c r="U54" i="31" l="1"/>
  <c r="F45" i="31"/>
  <c r="F46" i="31"/>
  <c r="W45" i="31" l="1"/>
  <c r="G45" i="31"/>
  <c r="V45" i="31"/>
  <c r="W46" i="31"/>
  <c r="G46" i="31"/>
  <c r="V46" i="31"/>
  <c r="T46" i="31" l="1"/>
  <c r="T45" i="31"/>
  <c r="W54" i="31"/>
  <c r="F47" i="31" l="1"/>
  <c r="U47" i="31" l="1"/>
  <c r="U49" i="31" s="1"/>
  <c r="C7" i="31" s="1"/>
  <c r="W47" i="31"/>
  <c r="W49" i="31" s="1"/>
  <c r="U7" i="31" s="1"/>
  <c r="V47" i="31"/>
  <c r="V49" i="31" s="1"/>
  <c r="D7" i="31" s="1"/>
  <c r="G47" i="31"/>
  <c r="F49" i="31"/>
  <c r="T47" i="31" l="1"/>
  <c r="G49" i="31"/>
  <c r="V7" i="31"/>
  <c r="C8" i="31"/>
  <c r="D39" i="28" l="1"/>
  <c r="D40" i="28"/>
  <c r="D38" i="28"/>
  <c r="D41" i="28"/>
  <c r="D25" i="28"/>
  <c r="F25" i="28" s="1"/>
  <c r="D29" i="28"/>
  <c r="D17" i="28"/>
  <c r="F17" i="28" s="1"/>
  <c r="D20" i="28"/>
  <c r="F20" i="28" s="1"/>
  <c r="D16" i="28"/>
  <c r="F16" i="28" s="1"/>
  <c r="AB13" i="28"/>
  <c r="D28" i="28"/>
  <c r="F28" i="28" s="1"/>
  <c r="D37" i="28"/>
  <c r="F37" i="28" s="1"/>
  <c r="D32" i="28"/>
  <c r="F32" i="28" s="1"/>
  <c r="D31" i="28"/>
  <c r="F31" i="28" s="1"/>
  <c r="D30" i="28"/>
  <c r="F30" i="28" s="1"/>
  <c r="D36" i="28"/>
  <c r="F36" i="28" s="1"/>
  <c r="D34" i="28"/>
  <c r="F34" i="28" s="1"/>
  <c r="D15" i="28"/>
  <c r="F15" i="28" s="1"/>
  <c r="D33" i="28"/>
  <c r="F38" i="28" l="1"/>
  <c r="G38" i="28" s="1"/>
  <c r="AB38" i="28" s="1"/>
  <c r="F40" i="28"/>
  <c r="G40" i="28" s="1"/>
  <c r="AB40" i="28" s="1"/>
  <c r="F29" i="28"/>
  <c r="G29" i="28" s="1"/>
  <c r="AB29" i="28" s="1"/>
  <c r="F39" i="28"/>
  <c r="G39" i="28" s="1"/>
  <c r="AB39" i="28" s="1"/>
  <c r="F33" i="28"/>
  <c r="G33" i="28" s="1"/>
  <c r="AB33" i="28" s="1"/>
  <c r="F41" i="28"/>
  <c r="G41" i="28" s="1"/>
  <c r="AB41" i="28" s="1"/>
  <c r="G25" i="28"/>
  <c r="AB25" i="28" s="1"/>
  <c r="G32" i="28" l="1"/>
  <c r="AB32" i="28" s="1"/>
  <c r="G34" i="28"/>
  <c r="AB34" i="28" s="1"/>
  <c r="G17" i="28"/>
  <c r="AB17" i="28" s="1"/>
  <c r="G30" i="28"/>
  <c r="AB30" i="28" s="1"/>
  <c r="G20" i="28"/>
  <c r="AB20" i="28" s="1"/>
  <c r="G36" i="28"/>
  <c r="AB36" i="28" s="1"/>
  <c r="G37" i="28"/>
  <c r="AB37" i="28" s="1"/>
  <c r="G28" i="28"/>
  <c r="AB28" i="28" s="1"/>
  <c r="G31" i="28"/>
  <c r="AB31" i="28" s="1"/>
  <c r="G15" i="28"/>
  <c r="AB15" i="28" s="1"/>
  <c r="G16" i="28"/>
  <c r="AB16" i="28" s="1"/>
  <c r="G42" i="28" l="1"/>
  <c r="AB42" i="28" s="1"/>
  <c r="J42" i="28"/>
  <c r="G6" i="28" s="1"/>
  <c r="H42" i="28"/>
  <c r="C6" i="28" s="1"/>
  <c r="I6" i="28" l="1"/>
  <c r="AV6" i="28"/>
</calcChain>
</file>

<file path=xl/comments1.xml><?xml version="1.0" encoding="utf-8"?>
<comments xmlns="http://schemas.openxmlformats.org/spreadsheetml/2006/main">
  <authors>
    <author>村山 剛</author>
    <author>富樫 真衣子</author>
    <author>nscs_user</author>
  </authors>
  <commentList>
    <comment ref="B2" authorId="0" shapeId="0">
      <text>
        <r>
          <rPr>
            <b/>
            <sz val="9"/>
            <color indexed="81"/>
            <rFont val="ＭＳ Ｐゴシック"/>
            <family val="3"/>
            <charset val="128"/>
          </rPr>
          <t>日付を記入
例：2017/6/1</t>
        </r>
      </text>
    </comment>
    <comment ref="R10" authorId="1" shapeId="0">
      <text>
        <r>
          <rPr>
            <sz val="9"/>
            <color indexed="81"/>
            <rFont val="MS P ゴシック"/>
            <family val="3"/>
            <charset val="128"/>
          </rPr>
          <t>L-B18業務
TJ110</t>
        </r>
      </text>
    </comment>
    <comment ref="T10" authorId="1" shapeId="0">
      <text>
        <r>
          <rPr>
            <sz val="9"/>
            <color indexed="81"/>
            <rFont val="MS P ゴシック"/>
            <family val="3"/>
            <charset val="128"/>
          </rPr>
          <t>L-B51業務
TJ120</t>
        </r>
      </text>
    </comment>
    <comment ref="V10" authorId="1" shapeId="0">
      <text>
        <r>
          <rPr>
            <sz val="11"/>
            <color indexed="81"/>
            <rFont val="MS P ゴシック"/>
            <family val="3"/>
            <charset val="128"/>
          </rPr>
          <t>PF</t>
        </r>
      </text>
    </comment>
    <comment ref="X10" authorId="1" shapeId="0">
      <text>
        <r>
          <rPr>
            <sz val="11"/>
            <color indexed="81"/>
            <rFont val="MS P ゴシック"/>
            <family val="3"/>
            <charset val="128"/>
          </rPr>
          <t>Diag</t>
        </r>
      </text>
    </comment>
    <comment ref="C42" authorId="2" shapeId="0">
      <text>
        <r>
          <rPr>
            <b/>
            <sz val="9"/>
            <color indexed="81"/>
            <rFont val="MS P ゴシック"/>
            <family val="3"/>
            <charset val="128"/>
          </rPr>
          <t>マクロ用に-1を入れている</t>
        </r>
      </text>
    </comment>
    <comment ref="H46" authorId="2" shapeId="0">
      <text>
        <r>
          <rPr>
            <b/>
            <sz val="9"/>
            <color indexed="81"/>
            <rFont val="MS P ゴシック"/>
            <family val="3"/>
            <charset val="128"/>
          </rPr>
          <t>数式入り
税抜き参照</t>
        </r>
      </text>
    </comment>
    <comment ref="I46" authorId="2" shapeId="0">
      <text>
        <r>
          <rPr>
            <b/>
            <sz val="9"/>
            <color indexed="81"/>
            <rFont val="MS P ゴシック"/>
            <family val="3"/>
            <charset val="128"/>
          </rPr>
          <t>数式入り
税抜き参照</t>
        </r>
      </text>
    </comment>
    <comment ref="J46" authorId="2" shapeId="0">
      <text>
        <r>
          <rPr>
            <b/>
            <sz val="9"/>
            <color indexed="81"/>
            <rFont val="MS P ゴシック"/>
            <family val="3"/>
            <charset val="128"/>
          </rPr>
          <t>数式入り
税抜き参照</t>
        </r>
      </text>
    </comment>
  </commentList>
</comments>
</file>

<file path=xl/comments2.xml><?xml version="1.0" encoding="utf-8"?>
<comments xmlns="http://schemas.openxmlformats.org/spreadsheetml/2006/main">
  <authors>
    <author>村山 剛</author>
    <author>nscs_user</author>
  </authors>
  <commentList>
    <comment ref="B2" authorId="0" shapeId="0">
      <text>
        <r>
          <rPr>
            <b/>
            <sz val="9"/>
            <color indexed="81"/>
            <rFont val="ＭＳ Ｐゴシック"/>
            <family val="3"/>
            <charset val="128"/>
          </rPr>
          <t>日付を記入
例：2017/6/1</t>
        </r>
      </text>
    </comment>
    <comment ref="U54" authorId="1" shapeId="0">
      <text>
        <r>
          <rPr>
            <b/>
            <sz val="9"/>
            <color indexed="81"/>
            <rFont val="MS P ゴシック"/>
            <family val="3"/>
            <charset val="128"/>
          </rPr>
          <t>数式入り</t>
        </r>
      </text>
    </comment>
    <comment ref="W54" authorId="1" shapeId="0">
      <text>
        <r>
          <rPr>
            <b/>
            <sz val="9"/>
            <color indexed="81"/>
            <rFont val="MS P ゴシック"/>
            <family val="3"/>
            <charset val="128"/>
          </rPr>
          <t>数式入り</t>
        </r>
      </text>
    </comment>
  </commentList>
</comments>
</file>

<file path=xl/sharedStrings.xml><?xml version="1.0" encoding="utf-8"?>
<sst xmlns="http://schemas.openxmlformats.org/spreadsheetml/2006/main" count="308" uniqueCount="191">
  <si>
    <t>レベル６－①</t>
  </si>
  <si>
    <t>レベル７－①</t>
  </si>
  <si>
    <t>レベル２－⑧</t>
  </si>
  <si>
    <t>レベル９</t>
  </si>
  <si>
    <t>レベル３－①</t>
  </si>
  <si>
    <t>レベル６－②</t>
  </si>
  <si>
    <t>レベル２－⑤</t>
  </si>
  <si>
    <t>レベル２－⑦</t>
  </si>
  <si>
    <t>レベル２－⑥</t>
  </si>
  <si>
    <t>レベル２－②</t>
  </si>
  <si>
    <t>レベル７－②</t>
  </si>
  <si>
    <t>レベル２－①</t>
  </si>
  <si>
    <t>レベル２－④</t>
  </si>
  <si>
    <t>レベル４－③</t>
  </si>
  <si>
    <t>レベル２－③</t>
  </si>
  <si>
    <t>参考資料</t>
  </si>
  <si>
    <t>レベル要員対応表（参考）</t>
  </si>
  <si>
    <t>月単価</t>
    <rPh sb="0" eb="1">
      <t>ツキ</t>
    </rPh>
    <rPh sb="1" eb="3">
      <t>タンカ</t>
    </rPh>
    <phoneticPr fontId="7"/>
  </si>
  <si>
    <t>超過単価</t>
    <rPh sb="0" eb="2">
      <t>チョウカ</t>
    </rPh>
    <rPh sb="2" eb="4">
      <t>タンカ</t>
    </rPh>
    <phoneticPr fontId="7"/>
  </si>
  <si>
    <t>定時間請求</t>
    <rPh sb="0" eb="1">
      <t>テイ</t>
    </rPh>
    <rPh sb="1" eb="3">
      <t>ジカン</t>
    </rPh>
    <rPh sb="3" eb="5">
      <t>セイキュウ</t>
    </rPh>
    <phoneticPr fontId="3"/>
  </si>
  <si>
    <t>追加請求分</t>
    <rPh sb="0" eb="2">
      <t>ツイカ</t>
    </rPh>
    <rPh sb="2" eb="4">
      <t>セイキュウ</t>
    </rPh>
    <rPh sb="4" eb="5">
      <t>ブン</t>
    </rPh>
    <phoneticPr fontId="3"/>
  </si>
  <si>
    <t>要員</t>
    <rPh sb="0" eb="2">
      <t>ヨウイン</t>
    </rPh>
    <phoneticPr fontId="3"/>
  </si>
  <si>
    <t>作業時間</t>
    <rPh sb="0" eb="2">
      <t>サギョウ</t>
    </rPh>
    <rPh sb="2" eb="4">
      <t>ジカン</t>
    </rPh>
    <phoneticPr fontId="3"/>
  </si>
  <si>
    <t>増減工数</t>
    <rPh sb="0" eb="2">
      <t>ゾウゲン</t>
    </rPh>
    <rPh sb="2" eb="4">
      <t>コウスウ</t>
    </rPh>
    <phoneticPr fontId="3"/>
  </si>
  <si>
    <t>～</t>
    <phoneticPr fontId="5"/>
  </si>
  <si>
    <t>・稼働日数</t>
    <rPh sb="1" eb="3">
      <t>カドウ</t>
    </rPh>
    <rPh sb="3" eb="5">
      <t>ニッスウ</t>
    </rPh>
    <phoneticPr fontId="3"/>
  </si>
  <si>
    <t>・標準工数</t>
  </si>
  <si>
    <t>通常単価</t>
    <rPh sb="0" eb="2">
      <t>ツウジョウ</t>
    </rPh>
    <rPh sb="2" eb="4">
      <t>タンカ</t>
    </rPh>
    <phoneticPr fontId="3"/>
  </si>
  <si>
    <t xml:space="preserve"> 作業時間一覧</t>
    <rPh sb="1" eb="3">
      <t>サギョウ</t>
    </rPh>
    <rPh sb="3" eb="5">
      <t>ジカン</t>
    </rPh>
    <rPh sb="5" eb="7">
      <t>イチラン</t>
    </rPh>
    <phoneticPr fontId="4"/>
  </si>
  <si>
    <t>請求額</t>
    <rPh sb="0" eb="2">
      <t>セイキュウ</t>
    </rPh>
    <rPh sb="2" eb="3">
      <t>ガク</t>
    </rPh>
    <phoneticPr fontId="3"/>
  </si>
  <si>
    <t>合計</t>
    <rPh sb="0" eb="2">
      <t>ゴウケイ</t>
    </rPh>
    <phoneticPr fontId="3"/>
  </si>
  <si>
    <t>名前</t>
    <rPh sb="0" eb="2">
      <t>ナマエ</t>
    </rPh>
    <phoneticPr fontId="3"/>
  </si>
  <si>
    <t>レベル５－②</t>
  </si>
  <si>
    <t>レベル４－⑥</t>
  </si>
  <si>
    <t>レベル５－①</t>
  </si>
  <si>
    <t>請求額(税抜)</t>
    <rPh sb="0" eb="2">
      <t>セイキュウ</t>
    </rPh>
    <rPh sb="2" eb="3">
      <t>ガク</t>
    </rPh>
    <rPh sb="4" eb="5">
      <t>ゼイ</t>
    </rPh>
    <rPh sb="5" eb="6">
      <t>ヌ</t>
    </rPh>
    <phoneticPr fontId="3"/>
  </si>
  <si>
    <t>レベル３－③</t>
  </si>
  <si>
    <t>レベル３－④</t>
  </si>
  <si>
    <t>レベル３－⑥</t>
  </si>
  <si>
    <t>レベル４－①</t>
  </si>
  <si>
    <t>レベル４－②</t>
  </si>
  <si>
    <t>レベル４－④</t>
  </si>
  <si>
    <t>八百板　悠平</t>
  </si>
  <si>
    <t>細井　亮司</t>
  </si>
  <si>
    <t>國吉　健太</t>
  </si>
  <si>
    <t>中村　洋太</t>
  </si>
  <si>
    <t>ファム　フィ　アイン</t>
  </si>
  <si>
    <t>矢代　一人</t>
  </si>
  <si>
    <t>魏　陽</t>
  </si>
  <si>
    <t>田崎　猛</t>
  </si>
  <si>
    <t>吉岡　真太郎</t>
  </si>
  <si>
    <t>高橋　健伍</t>
  </si>
  <si>
    <t>数藤　智志</t>
  </si>
  <si>
    <t>伊藤　繁</t>
  </si>
  <si>
    <t>佐藤　弘幸</t>
  </si>
  <si>
    <t>稲田　健志</t>
  </si>
  <si>
    <t>藤本　裕作</t>
  </si>
  <si>
    <t>レベル５－⑧</t>
    <phoneticPr fontId="3"/>
  </si>
  <si>
    <t>レベル１－①</t>
    <phoneticPr fontId="3"/>
  </si>
  <si>
    <t>レベル５－⑨</t>
    <phoneticPr fontId="3"/>
  </si>
  <si>
    <t>レベル７－③</t>
    <phoneticPr fontId="3"/>
  </si>
  <si>
    <t>レベル６－③</t>
    <phoneticPr fontId="3"/>
  </si>
  <si>
    <t>レベル６－④</t>
    <phoneticPr fontId="3"/>
  </si>
  <si>
    <t>レベル４－②</t>
    <phoneticPr fontId="3"/>
  </si>
  <si>
    <t>小熊　義樹</t>
    <rPh sb="0" eb="2">
      <t>オグマ</t>
    </rPh>
    <rPh sb="3" eb="4">
      <t>ヨシ</t>
    </rPh>
    <rPh sb="4" eb="5">
      <t>キ</t>
    </rPh>
    <phoneticPr fontId="3"/>
  </si>
  <si>
    <t>レベル５－⑦</t>
    <phoneticPr fontId="3"/>
  </si>
  <si>
    <t>レベル４－⑤</t>
    <phoneticPr fontId="3"/>
  </si>
  <si>
    <t>・実費経費</t>
    <rPh sb="1" eb="3">
      <t>ジッピ</t>
    </rPh>
    <rPh sb="3" eb="5">
      <t>ケイヒ</t>
    </rPh>
    <phoneticPr fontId="3"/>
  </si>
  <si>
    <t xml:space="preserve">  項目</t>
    <rPh sb="2" eb="4">
      <t>コウモク</t>
    </rPh>
    <phoneticPr fontId="3"/>
  </si>
  <si>
    <t xml:space="preserve">  専用線利用料</t>
    <rPh sb="2" eb="5">
      <t>センヨウセン</t>
    </rPh>
    <rPh sb="5" eb="8">
      <t>リヨウリョウ</t>
    </rPh>
    <phoneticPr fontId="3"/>
  </si>
  <si>
    <t>総計</t>
    <rPh sb="0" eb="2">
      <t>ソウケイ</t>
    </rPh>
    <phoneticPr fontId="3"/>
  </si>
  <si>
    <t>業務委託依頼書No.</t>
    <phoneticPr fontId="3"/>
  </si>
  <si>
    <t>レベル２－⑨</t>
    <phoneticPr fontId="3"/>
  </si>
  <si>
    <t>第1ソフトウェア技術部</t>
    <phoneticPr fontId="3"/>
  </si>
  <si>
    <t>ルネサス緊急対応</t>
    <rPh sb="4" eb="8">
      <t>キンキュウタイオウ</t>
    </rPh>
    <phoneticPr fontId="3"/>
  </si>
  <si>
    <t>ソフトウェア基盤技術部</t>
    <rPh sb="6" eb="8">
      <t>キバン</t>
    </rPh>
    <rPh sb="8" eb="10">
      <t>ギジュツ</t>
    </rPh>
    <rPh sb="10" eb="11">
      <t>ブ</t>
    </rPh>
    <phoneticPr fontId="3"/>
  </si>
  <si>
    <t>第1ソフトウェア技術部
ルネサス緊急対応</t>
    <rPh sb="16" eb="20">
      <t>キンキュウタイオウ</t>
    </rPh>
    <phoneticPr fontId="3"/>
  </si>
  <si>
    <t>ソフトウェア基盤技術部</t>
    <phoneticPr fontId="3"/>
  </si>
  <si>
    <t>AWNSCS-I21001</t>
    <phoneticPr fontId="3"/>
  </si>
  <si>
    <t>AWNSCS-I21002</t>
    <phoneticPr fontId="3"/>
  </si>
  <si>
    <t>-</t>
    <phoneticPr fontId="3"/>
  </si>
  <si>
    <t>非表示にする予定の行</t>
    <rPh sb="0" eb="3">
      <t>ヒヒョウジ</t>
    </rPh>
    <rPh sb="6" eb="8">
      <t>ヨテイ</t>
    </rPh>
    <rPh sb="9" eb="10">
      <t>ギョウ</t>
    </rPh>
    <phoneticPr fontId="3"/>
  </si>
  <si>
    <t>・開発作業工数</t>
    <rPh sb="1" eb="3">
      <t>カイハツ</t>
    </rPh>
    <rPh sb="3" eb="5">
      <t>サギョウ</t>
    </rPh>
    <rPh sb="5" eb="7">
      <t>コウスウ</t>
    </rPh>
    <phoneticPr fontId="3"/>
  </si>
  <si>
    <t xml:space="preserve">  出張費</t>
    <phoneticPr fontId="3"/>
  </si>
  <si>
    <t>工数入力</t>
    <rPh sb="0" eb="4">
      <t>コウスウニュウリョク</t>
    </rPh>
    <phoneticPr fontId="3"/>
  </si>
  <si>
    <t>第1ソフトウェア技術部
(TASK以外)</t>
    <rPh sb="17" eb="19">
      <t>イガイ</t>
    </rPh>
    <phoneticPr fontId="3"/>
  </si>
  <si>
    <t>第1ソフトウェア技術部
TASK対応工数</t>
    <rPh sb="16" eb="18">
      <t>タイオウ</t>
    </rPh>
    <rPh sb="18" eb="20">
      <t>コウスウ</t>
    </rPh>
    <phoneticPr fontId="3"/>
  </si>
  <si>
    <t>第1ソフトウェア技術部
(TASK以外)</t>
    <phoneticPr fontId="3"/>
  </si>
  <si>
    <t>第1ソフトウェア技術部
TASK対応工数</t>
    <phoneticPr fontId="3"/>
  </si>
  <si>
    <t>定時内</t>
  </si>
  <si>
    <t>定時内</t>
    <rPh sb="0" eb="3">
      <t>テイジナイ</t>
    </rPh>
    <phoneticPr fontId="3"/>
  </si>
  <si>
    <t>残業
(請求分)</t>
  </si>
  <si>
    <t>残業
(請求分)</t>
    <rPh sb="0" eb="2">
      <t>ザンギョウ</t>
    </rPh>
    <rPh sb="4" eb="7">
      <t>セイキュウブン</t>
    </rPh>
    <phoneticPr fontId="3"/>
  </si>
  <si>
    <t>請求額
検算</t>
    <rPh sb="0" eb="3">
      <t>セイキュウガク</t>
    </rPh>
    <rPh sb="4" eb="6">
      <t>ケンザン</t>
    </rPh>
    <phoneticPr fontId="3"/>
  </si>
  <si>
    <t>第1ソフトウェア技術部
(合計)</t>
    <rPh sb="13" eb="15">
      <t>ゴウケイ</t>
    </rPh>
    <phoneticPr fontId="3"/>
  </si>
  <si>
    <t>作業時間</t>
    <rPh sb="0" eb="4">
      <t>サギョウジカン</t>
    </rPh>
    <phoneticPr fontId="3"/>
  </si>
  <si>
    <t>金額</t>
    <rPh sb="0" eb="2">
      <t>キンガク</t>
    </rPh>
    <phoneticPr fontId="3"/>
  </si>
  <si>
    <t>誤差
検算</t>
    <rPh sb="3" eb="5">
      <t>ケンザン</t>
    </rPh>
    <phoneticPr fontId="3"/>
  </si>
  <si>
    <t xml:space="preserve"> 作業時間・請求額一覧</t>
    <rPh sb="1" eb="3">
      <t>サギョウ</t>
    </rPh>
    <rPh sb="3" eb="5">
      <t>ジカン</t>
    </rPh>
    <rPh sb="6" eb="9">
      <t>セイキュウガク</t>
    </rPh>
    <rPh sb="9" eb="11">
      <t>イチラン</t>
    </rPh>
    <phoneticPr fontId="4"/>
  </si>
  <si>
    <t>・開発作業時間・請求額一覧</t>
    <rPh sb="1" eb="3">
      <t>カイハツ</t>
    </rPh>
    <rPh sb="3" eb="5">
      <t>サギョウ</t>
    </rPh>
    <rPh sb="5" eb="7">
      <t>ジカン</t>
    </rPh>
    <rPh sb="8" eb="11">
      <t>セイキュウガク</t>
    </rPh>
    <rPh sb="11" eb="13">
      <t>イチラン</t>
    </rPh>
    <phoneticPr fontId="3"/>
  </si>
  <si>
    <t>業務委託
依頼書No.</t>
    <phoneticPr fontId="3"/>
  </si>
  <si>
    <t>山本　智也</t>
    <rPh sb="0" eb="2">
      <t>ヤマモト</t>
    </rPh>
    <rPh sb="3" eb="5">
      <t>トモヤ</t>
    </rPh>
    <phoneticPr fontId="3"/>
  </si>
  <si>
    <t>レベル７－③</t>
  </si>
  <si>
    <t>係数</t>
    <rPh sb="0" eb="2">
      <t>ケイスウ</t>
    </rPh>
    <phoneticPr fontId="3"/>
  </si>
  <si>
    <t>木村　俊介</t>
  </si>
  <si>
    <t>堀井 雅史</t>
  </si>
  <si>
    <t>小熊　義樹</t>
  </si>
  <si>
    <t>レベル３－②</t>
  </si>
  <si>
    <t>レベル７－④</t>
  </si>
  <si>
    <t xml:space="preserve">作 業 時 間 ・ 金 額 明 細 </t>
    <rPh sb="0" eb="1">
      <t>サク</t>
    </rPh>
    <rPh sb="2" eb="3">
      <t>ゴウ</t>
    </rPh>
    <rPh sb="4" eb="5">
      <t>トキ</t>
    </rPh>
    <rPh sb="6" eb="7">
      <t>アイダ</t>
    </rPh>
    <rPh sb="10" eb="11">
      <t>カネ</t>
    </rPh>
    <rPh sb="12" eb="13">
      <t>ガク</t>
    </rPh>
    <rPh sb="14" eb="15">
      <t>アキラ</t>
    </rPh>
    <rPh sb="16" eb="17">
      <t>ホソ</t>
    </rPh>
    <phoneticPr fontId="3"/>
  </si>
  <si>
    <t>レベル２－⑦</t>
    <phoneticPr fontId="3"/>
  </si>
  <si>
    <t>レベル４－⑤</t>
  </si>
  <si>
    <t>レベル２－③</t>
    <phoneticPr fontId="3"/>
  </si>
  <si>
    <t>レベル２－④</t>
    <phoneticPr fontId="3"/>
  </si>
  <si>
    <t>レベル２－⑥</t>
    <phoneticPr fontId="3"/>
  </si>
  <si>
    <t>浅川 和貴</t>
    <rPh sb="0" eb="2">
      <t>アサカワ</t>
    </rPh>
    <rPh sb="3" eb="5">
      <t>カズタカ</t>
    </rPh>
    <phoneticPr fontId="3"/>
  </si>
  <si>
    <t>堀沢 翔太</t>
    <rPh sb="0" eb="2">
      <t>ホリサワ</t>
    </rPh>
    <rPh sb="3" eb="5">
      <t>ショウタ</t>
    </rPh>
    <phoneticPr fontId="3"/>
  </si>
  <si>
    <t>片桐　清穂</t>
    <rPh sb="0" eb="2">
      <t>カタギリ</t>
    </rPh>
    <rPh sb="3" eb="5">
      <t>セイホ</t>
    </rPh>
    <phoneticPr fontId="3"/>
  </si>
  <si>
    <t>金田 大海</t>
    <rPh sb="0" eb="2">
      <t>カネダ</t>
    </rPh>
    <rPh sb="3" eb="5">
      <t>ヒロミ</t>
    </rPh>
    <phoneticPr fontId="3"/>
  </si>
  <si>
    <t>阿部 悠汰</t>
    <rPh sb="0" eb="2">
      <t>アベ</t>
    </rPh>
    <rPh sb="3" eb="5">
      <t>ユウタ</t>
    </rPh>
    <phoneticPr fontId="3"/>
  </si>
  <si>
    <t>レベル７－⑤</t>
  </si>
  <si>
    <t>二ノ宮 達郎</t>
    <rPh sb="0" eb="1">
      <t>ニ</t>
    </rPh>
    <rPh sb="2" eb="3">
      <t>ミヤ</t>
    </rPh>
    <rPh sb="4" eb="6">
      <t>タツロウ</t>
    </rPh>
    <phoneticPr fontId="3"/>
  </si>
  <si>
    <t>近藤　玲汰</t>
    <rPh sb="3" eb="4">
      <t>レイ</t>
    </rPh>
    <rPh sb="4" eb="5">
      <t>タ</t>
    </rPh>
    <phoneticPr fontId="3"/>
  </si>
  <si>
    <t>出 張 証 明</t>
    <rPh sb="0" eb="1">
      <t>デ</t>
    </rPh>
    <rPh sb="2" eb="3">
      <t>チョウ</t>
    </rPh>
    <rPh sb="4" eb="5">
      <t>アカシ</t>
    </rPh>
    <rPh sb="6" eb="7">
      <t>メイ</t>
    </rPh>
    <phoneticPr fontId="35"/>
  </si>
  <si>
    <t>会 社</t>
    <rPh sb="0" eb="1">
      <t>カイ</t>
    </rPh>
    <rPh sb="2" eb="3">
      <t>シャ</t>
    </rPh>
    <phoneticPr fontId="35"/>
  </si>
  <si>
    <t>株式会社NS・コンピュータサービス</t>
    <phoneticPr fontId="35"/>
  </si>
  <si>
    <t>時 期</t>
    <rPh sb="0" eb="1">
      <t>トキ</t>
    </rPh>
    <rPh sb="2" eb="3">
      <t>キ</t>
    </rPh>
    <phoneticPr fontId="35"/>
  </si>
  <si>
    <t>合計（税込）</t>
    <phoneticPr fontId="3"/>
  </si>
  <si>
    <t>合計（税抜）</t>
    <rPh sb="0" eb="2">
      <t>ゴウケイ</t>
    </rPh>
    <rPh sb="3" eb="5">
      <t>ゼイヌキ</t>
    </rPh>
    <phoneticPr fontId="3"/>
  </si>
  <si>
    <t>消費税</t>
    <rPh sb="0" eb="3">
      <t>ショウヒゼイ</t>
    </rPh>
    <phoneticPr fontId="3"/>
  </si>
  <si>
    <t>連番</t>
    <rPh sb="0" eb="2">
      <t>レンバン</t>
    </rPh>
    <phoneticPr fontId="35"/>
  </si>
  <si>
    <t>氏名コード</t>
    <rPh sb="0" eb="2">
      <t>シメイ</t>
    </rPh>
    <phoneticPr fontId="35"/>
  </si>
  <si>
    <t>氏名</t>
    <rPh sb="0" eb="2">
      <t>シメイ</t>
    </rPh>
    <phoneticPr fontId="35"/>
  </si>
  <si>
    <t>出張日</t>
    <rPh sb="0" eb="2">
      <t>シュッチョウ</t>
    </rPh>
    <rPh sb="2" eb="3">
      <t>ヒ</t>
    </rPh>
    <phoneticPr fontId="35"/>
  </si>
  <si>
    <t>時間</t>
    <rPh sb="0" eb="2">
      <t>ジカン</t>
    </rPh>
    <phoneticPr fontId="35"/>
  </si>
  <si>
    <t>出発/帰着</t>
    <rPh sb="0" eb="2">
      <t>シュッパツ</t>
    </rPh>
    <rPh sb="3" eb="5">
      <t>キチャク</t>
    </rPh>
    <phoneticPr fontId="35"/>
  </si>
  <si>
    <t>交通手段</t>
    <rPh sb="0" eb="2">
      <t>コウツウ</t>
    </rPh>
    <rPh sb="2" eb="4">
      <t>シュダン</t>
    </rPh>
    <phoneticPr fontId="35"/>
  </si>
  <si>
    <t>金額</t>
    <rPh sb="0" eb="2">
      <t>キンガク</t>
    </rPh>
    <phoneticPr fontId="35"/>
  </si>
  <si>
    <t>出張目的　</t>
    <rPh sb="0" eb="2">
      <t>シュッチョウ</t>
    </rPh>
    <rPh sb="2" eb="4">
      <t>モクテキ</t>
    </rPh>
    <phoneticPr fontId="35"/>
  </si>
  <si>
    <t>確認</t>
    <rPh sb="0" eb="2">
      <t>カクニン</t>
    </rPh>
    <phoneticPr fontId="35"/>
  </si>
  <si>
    <t>ご請求書には消費税抜きの金額にて開発費と合算とさせていただいております。</t>
    <rPh sb="12" eb="14">
      <t>キンガク</t>
    </rPh>
    <phoneticPr fontId="3"/>
  </si>
  <si>
    <t>交通機関</t>
    <rPh sb="0" eb="2">
      <t>コウツウ</t>
    </rPh>
    <rPh sb="2" eb="4">
      <t>キカン</t>
    </rPh>
    <phoneticPr fontId="35"/>
  </si>
  <si>
    <t>区間</t>
    <rPh sb="0" eb="2">
      <t>クカン</t>
    </rPh>
    <phoneticPr fontId="35"/>
  </si>
  <si>
    <t>片道 / 往復</t>
    <rPh sb="0" eb="2">
      <t>カタミチ</t>
    </rPh>
    <rPh sb="5" eb="7">
      <t>オウフク</t>
    </rPh>
    <phoneticPr fontId="35"/>
  </si>
  <si>
    <t>担当員以上</t>
    <rPh sb="0" eb="3">
      <t>タントウイン</t>
    </rPh>
    <rPh sb="3" eb="5">
      <t>イジョウ</t>
    </rPh>
    <phoneticPr fontId="35"/>
  </si>
  <si>
    <t>承認日</t>
    <rPh sb="0" eb="2">
      <t>ショウニン</t>
    </rPh>
    <rPh sb="2" eb="3">
      <t>ビ</t>
    </rPh>
    <phoneticPr fontId="35"/>
  </si>
  <si>
    <t>（例）</t>
    <phoneticPr fontId="35"/>
  </si>
  <si>
    <t>Z9999</t>
    <phoneticPr fontId="35"/>
  </si>
  <si>
    <t>●●太郎</t>
    <phoneticPr fontId="35"/>
  </si>
  <si>
    <t>～</t>
    <phoneticPr fontId="35"/>
  </si>
  <si>
    <t>ﾚ</t>
  </si>
  <si>
    <t>会社発</t>
  </si>
  <si>
    <t>/</t>
    <phoneticPr fontId="35"/>
  </si>
  <si>
    <t>会社着</t>
  </si>
  <si>
    <t>名鉄</t>
    <rPh sb="0" eb="2">
      <t>メイテツ</t>
    </rPh>
    <phoneticPr fontId="35"/>
  </si>
  <si>
    <t>名古屋－南桜井</t>
    <phoneticPr fontId="35"/>
  </si>
  <si>
    <t>片道</t>
    <rPh sb="0" eb="2">
      <t>カタミチ</t>
    </rPh>
    <phoneticPr fontId="35"/>
  </si>
  <si>
    <t>○新DR参加</t>
    <rPh sb="1" eb="2">
      <t>シン</t>
    </rPh>
    <rPh sb="4" eb="6">
      <t>サンカ</t>
    </rPh>
    <phoneticPr fontId="35"/>
  </si>
  <si>
    <t>村瀬GM</t>
    <rPh sb="0" eb="2">
      <t>ムラセ</t>
    </rPh>
    <phoneticPr fontId="35"/>
  </si>
  <si>
    <t>直出</t>
    <rPh sb="0" eb="1">
      <t>チョク</t>
    </rPh>
    <rPh sb="1" eb="2">
      <t>シュツ</t>
    </rPh>
    <phoneticPr fontId="35"/>
  </si>
  <si>
    <t>直帰</t>
    <rPh sb="0" eb="1">
      <t>チョク</t>
    </rPh>
    <rPh sb="1" eb="2">
      <t>キ</t>
    </rPh>
    <phoneticPr fontId="35"/>
  </si>
  <si>
    <t>往復</t>
    <rPh sb="0" eb="2">
      <t>オウフク</t>
    </rPh>
    <phoneticPr fontId="35"/>
  </si>
  <si>
    <t>総計</t>
    <rPh sb="0" eb="2">
      <t>ソウケイ</t>
    </rPh>
    <phoneticPr fontId="3"/>
  </si>
  <si>
    <t>ソフトウェア戦略推進部</t>
    <rPh sb="6" eb="8">
      <t>センリャク</t>
    </rPh>
    <rPh sb="8" eb="11">
      <t>スイシンブ</t>
    </rPh>
    <phoneticPr fontId="3"/>
  </si>
  <si>
    <t>ソフトウェア技術部</t>
    <phoneticPr fontId="3"/>
  </si>
  <si>
    <t>重信 壱成</t>
  </si>
  <si>
    <t>スェ ジン ピュウ</t>
  </si>
  <si>
    <t>名城　藤貴雄</t>
  </si>
  <si>
    <t>レベル１－①</t>
  </si>
  <si>
    <t>レベル２－①</t>
    <phoneticPr fontId="3"/>
  </si>
  <si>
    <t>レベル２－②</t>
    <phoneticPr fontId="3"/>
  </si>
  <si>
    <t>レベル３－①</t>
    <phoneticPr fontId="3"/>
  </si>
  <si>
    <t>レベル５－③</t>
  </si>
  <si>
    <t>レベル５－③</t>
    <phoneticPr fontId="3"/>
  </si>
  <si>
    <t>レベル６－①</t>
    <phoneticPr fontId="3"/>
  </si>
  <si>
    <t>レベル７－②</t>
    <phoneticPr fontId="3"/>
  </si>
  <si>
    <t>レベル７－⑤</t>
    <phoneticPr fontId="3"/>
  </si>
  <si>
    <t>レベル７－⑥</t>
  </si>
  <si>
    <t>レベル７－⑥</t>
    <phoneticPr fontId="3"/>
  </si>
  <si>
    <t>レベル２－⑤</t>
    <phoneticPr fontId="3"/>
  </si>
  <si>
    <t>24年4月</t>
    <rPh sb="2" eb="3">
      <t>ネン</t>
    </rPh>
    <rPh sb="4" eb="5">
      <t>ガツ</t>
    </rPh>
    <phoneticPr fontId="35"/>
  </si>
  <si>
    <t>ソフトウェア戦略推進部</t>
    <rPh sb="6" eb="8">
      <t>センリャク</t>
    </rPh>
    <rPh sb="8" eb="10">
      <t>スイシン</t>
    </rPh>
    <phoneticPr fontId="3"/>
  </si>
  <si>
    <t>第1ソフトウェア開発室
- 第1G</t>
    <rPh sb="0" eb="1">
      <t>ダイ</t>
    </rPh>
    <phoneticPr fontId="3"/>
  </si>
  <si>
    <t>第1ソフトウェア開発室
- 第2G</t>
    <rPh sb="0" eb="1">
      <t>ダイ</t>
    </rPh>
    <phoneticPr fontId="3"/>
  </si>
  <si>
    <t>第1ソフトウェア
基盤開発室 - 第3G</t>
    <rPh sb="0" eb="1">
      <t>ダイ</t>
    </rPh>
    <phoneticPr fontId="3"/>
  </si>
  <si>
    <t>第2ソフトウェア
基盤開発室 - 第3G</t>
    <rPh sb="0" eb="1">
      <t>ダイ</t>
    </rPh>
    <phoneticPr fontId="3"/>
  </si>
  <si>
    <r>
      <rPr>
        <sz val="10"/>
        <color theme="1"/>
        <rFont val="Meiryo UI"/>
        <family val="3"/>
        <charset val="128"/>
      </rPr>
      <t>ソフトウェア開発革新室</t>
    </r>
    <r>
      <rPr>
        <sz val="11"/>
        <color theme="1"/>
        <rFont val="Meiryo UI"/>
        <family val="3"/>
        <charset val="128"/>
      </rPr>
      <t xml:space="preserve">
- 第2G</t>
    </r>
    <rPh sb="6" eb="8">
      <t>カイハツ</t>
    </rPh>
    <rPh sb="8" eb="10">
      <t>カクシン</t>
    </rPh>
    <rPh sb="14" eb="15">
      <t>ダイ</t>
    </rPh>
    <phoneticPr fontId="3"/>
  </si>
  <si>
    <t>レベル９－①</t>
    <phoneticPr fontId="3"/>
  </si>
  <si>
    <t>AINSCS-I24003</t>
    <phoneticPr fontId="3"/>
  </si>
  <si>
    <t>AINSCS-I24002</t>
    <phoneticPr fontId="3"/>
  </si>
  <si>
    <t>AINSCS-I24001</t>
    <phoneticPr fontId="3"/>
  </si>
</sst>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4">
    <numFmt numFmtId="5" formatCode="&quot;¥&quot;#,##0;&quot;¥&quot;\-#,##0"/>
    <numFmt numFmtId="176" formatCode="yyyy&quot;年&quot;\ m&quot;月&quot;"/>
    <numFmt numFmtId="177" formatCode="0.00_);[Red]\(0.00\)"/>
    <numFmt numFmtId="178" formatCode="#.00&quot; (H)&quot;"/>
    <numFmt numFmtId="179" formatCode="#\ &quot;日&quot;"/>
    <numFmt numFmtId="180" formatCode="0.00&quot; (H)&quot;"/>
    <numFmt numFmtId="181" formatCode="&quot;¥&quot;#,##0_);[Red]\(&quot;¥&quot;#,##0\)"/>
    <numFmt numFmtId="182" formatCode="&quot;¥&quot;#,##0.0;&quot;¥&quot;\-#,##0.0"/>
    <numFmt numFmtId="183" formatCode="0.00_ "/>
    <numFmt numFmtId="184" formatCode="0.0_ "/>
    <numFmt numFmtId="185" formatCode="0.00&quot;(H)&quot;"/>
    <numFmt numFmtId="186" formatCode="&quot;¥&quot;#,##0.0_);[Red]\(&quot;¥&quot;#,##0.0\)"/>
    <numFmt numFmtId="187" formatCode="#,##0&quot;円&quot;"/>
    <numFmt numFmtId="188" formatCode="#,000&quot;円&quot;"/>
  </numFmts>
  <fonts count="45">
    <font>
      <sz val="11"/>
      <color theme="1"/>
      <name val="ＭＳ Ｐゴシック"/>
      <family val="2"/>
      <charset val="128"/>
      <scheme val="minor"/>
    </font>
    <font>
      <sz val="11"/>
      <color theme="1"/>
      <name val="ＭＳ Ｐゴシック"/>
      <family val="2"/>
      <charset val="128"/>
      <scheme val="minor"/>
    </font>
    <font>
      <sz val="11"/>
      <name val="明朝"/>
      <family val="1"/>
      <charset val="128"/>
    </font>
    <font>
      <sz val="6"/>
      <name val="ＭＳ Ｐゴシック"/>
      <family val="2"/>
      <charset val="128"/>
      <scheme val="minor"/>
    </font>
    <font>
      <sz val="6"/>
      <name val="ＭＳ Ｐ明朝"/>
      <family val="1"/>
      <charset val="128"/>
    </font>
    <font>
      <sz val="6"/>
      <name val="明朝"/>
      <family val="1"/>
      <charset val="128"/>
    </font>
    <font>
      <sz val="11"/>
      <color theme="1"/>
      <name val="ＭＳ Ｐゴシック"/>
      <family val="2"/>
      <scheme val="minor"/>
    </font>
    <font>
      <sz val="6"/>
      <name val="ＭＳ Ｐゴシック"/>
      <family val="3"/>
      <charset val="128"/>
      <scheme val="minor"/>
    </font>
    <font>
      <sz val="11"/>
      <name val="ＭＳ Ｐゴシック"/>
      <family val="3"/>
      <charset val="128"/>
    </font>
    <font>
      <b/>
      <sz val="9"/>
      <color indexed="81"/>
      <name val="ＭＳ Ｐゴシック"/>
      <family val="3"/>
      <charset val="128"/>
    </font>
    <font>
      <sz val="11"/>
      <color theme="1"/>
      <name val="Meiryo UI"/>
      <family val="3"/>
      <charset val="128"/>
    </font>
    <font>
      <b/>
      <sz val="16"/>
      <name val="Meiryo UI"/>
      <family val="3"/>
      <charset val="128"/>
    </font>
    <font>
      <sz val="12"/>
      <name val="Meiryo UI"/>
      <family val="3"/>
      <charset val="128"/>
    </font>
    <font>
      <sz val="10"/>
      <color theme="1"/>
      <name val="Meiryo UI"/>
      <family val="3"/>
      <charset val="128"/>
    </font>
    <font>
      <sz val="14"/>
      <color theme="1"/>
      <name val="Meiryo UI"/>
      <family val="3"/>
      <charset val="128"/>
    </font>
    <font>
      <sz val="11"/>
      <name val="Meiryo UI"/>
      <family val="3"/>
      <charset val="128"/>
    </font>
    <font>
      <sz val="12"/>
      <color theme="1"/>
      <name val="Meiryo UI"/>
      <family val="3"/>
      <charset val="128"/>
    </font>
    <font>
      <sz val="10"/>
      <name val="Meiryo UI"/>
      <family val="3"/>
      <charset val="128"/>
    </font>
    <font>
      <b/>
      <sz val="9"/>
      <color indexed="81"/>
      <name val="MS P ゴシック"/>
      <family val="3"/>
      <charset val="128"/>
    </font>
    <font>
      <sz val="8"/>
      <color theme="1"/>
      <name val="Meiryo UI"/>
      <family val="3"/>
      <charset val="128"/>
    </font>
    <font>
      <sz val="6"/>
      <color theme="1"/>
      <name val="Meiryo UI"/>
      <family val="3"/>
      <charset val="128"/>
    </font>
    <font>
      <sz val="10"/>
      <color rgb="FFFF0000"/>
      <name val="Meiryo UI"/>
      <family val="3"/>
      <charset val="128"/>
    </font>
    <font>
      <sz val="14"/>
      <color theme="0"/>
      <name val="Meiryo UI"/>
      <family val="3"/>
      <charset val="128"/>
    </font>
    <font>
      <b/>
      <sz val="11"/>
      <color theme="1"/>
      <name val="Meiryo UI"/>
      <family val="3"/>
      <charset val="128"/>
    </font>
    <font>
      <b/>
      <sz val="11"/>
      <name val="Meiryo UI"/>
      <family val="3"/>
      <charset val="128"/>
    </font>
    <font>
      <b/>
      <sz val="18"/>
      <color theme="1"/>
      <name val="Meiryo UI"/>
      <family val="3"/>
      <charset val="128"/>
    </font>
    <font>
      <sz val="14"/>
      <name val="Meiryo UI"/>
      <family val="3"/>
      <charset val="128"/>
    </font>
    <font>
      <sz val="10.5"/>
      <name val="Meiryo UI"/>
      <family val="3"/>
      <charset val="128"/>
    </font>
    <font>
      <sz val="9"/>
      <color theme="1"/>
      <name val="Meiryo UI"/>
      <family val="3"/>
      <charset val="128"/>
    </font>
    <font>
      <sz val="11"/>
      <color rgb="FFFF0000"/>
      <name val="Meiryo UI"/>
      <family val="3"/>
      <charset val="128"/>
    </font>
    <font>
      <sz val="9.5"/>
      <color theme="1"/>
      <name val="Meiryo UI"/>
      <family val="3"/>
      <charset val="128"/>
    </font>
    <font>
      <sz val="9.5"/>
      <name val="Meiryo UI"/>
      <family val="3"/>
      <charset val="128"/>
    </font>
    <font>
      <b/>
      <sz val="9.5"/>
      <name val="Meiryo UI"/>
      <family val="3"/>
      <charset val="128"/>
    </font>
    <font>
      <sz val="10.5"/>
      <color theme="1"/>
      <name val="Meiryo UI"/>
      <family val="3"/>
      <charset val="128"/>
    </font>
    <font>
      <b/>
      <sz val="14"/>
      <name val="ＭＳ Ｐゴシック"/>
      <family val="3"/>
      <charset val="128"/>
    </font>
    <font>
      <sz val="6"/>
      <name val="ＭＳ Ｐゴシック"/>
      <family val="3"/>
      <charset val="128"/>
    </font>
    <font>
      <sz val="12"/>
      <name val="ＭＳ Ｐゴシック"/>
      <family val="3"/>
      <charset val="128"/>
    </font>
    <font>
      <sz val="14"/>
      <name val="ＭＳ Ｐゴシック"/>
      <family val="3"/>
      <charset val="128"/>
    </font>
    <font>
      <b/>
      <sz val="11"/>
      <name val="ＭＳ Ｐゴシック"/>
      <family val="3"/>
      <charset val="128"/>
    </font>
    <font>
      <sz val="10"/>
      <name val="ＭＳ Ｐゴシック"/>
      <family val="3"/>
      <charset val="128"/>
    </font>
    <font>
      <b/>
      <sz val="8"/>
      <name val="ＭＳ Ｐゴシック"/>
      <family val="3"/>
      <charset val="128"/>
    </font>
    <font>
      <sz val="11"/>
      <color indexed="12"/>
      <name val="ＭＳ Ｐゴシック"/>
      <family val="3"/>
      <charset val="128"/>
    </font>
    <font>
      <sz val="9"/>
      <color indexed="12"/>
      <name val="ＭＳ Ｐゴシック"/>
      <family val="3"/>
      <charset val="128"/>
    </font>
    <font>
      <sz val="11"/>
      <color indexed="81"/>
      <name val="MS P ゴシック"/>
      <family val="3"/>
      <charset val="128"/>
    </font>
    <font>
      <sz val="9"/>
      <color indexed="81"/>
      <name val="MS P ゴシック"/>
      <family val="3"/>
      <charset val="128"/>
    </font>
  </fonts>
  <fills count="13">
    <fill>
      <patternFill patternType="none"/>
    </fill>
    <fill>
      <patternFill patternType="gray125"/>
    </fill>
    <fill>
      <patternFill patternType="solid">
        <fgColor rgb="FFFFFFCC"/>
        <bgColor indexed="64"/>
      </patternFill>
    </fill>
    <fill>
      <patternFill patternType="solid">
        <fgColor rgb="FFCCFFCC"/>
        <bgColor indexed="64"/>
      </patternFill>
    </fill>
    <fill>
      <patternFill patternType="solid">
        <fgColor rgb="FFFFCCFF"/>
        <bgColor indexed="64"/>
      </patternFill>
    </fill>
    <fill>
      <patternFill patternType="solid">
        <fgColor rgb="FFCCFFFF"/>
        <bgColor indexed="64"/>
      </patternFill>
    </fill>
    <fill>
      <patternFill patternType="solid">
        <fgColor rgb="FFFFFF00"/>
        <bgColor indexed="64"/>
      </patternFill>
    </fill>
    <fill>
      <patternFill patternType="solid">
        <fgColor theme="0" tint="-0.14999847407452621"/>
        <bgColor indexed="64"/>
      </patternFill>
    </fill>
    <fill>
      <patternFill patternType="solid">
        <fgColor rgb="FF92D050"/>
        <bgColor indexed="64"/>
      </patternFill>
    </fill>
    <fill>
      <patternFill patternType="solid">
        <fgColor theme="0" tint="-4.9989318521683403E-2"/>
        <bgColor indexed="64"/>
      </patternFill>
    </fill>
    <fill>
      <patternFill patternType="solid">
        <fgColor theme="0"/>
        <bgColor indexed="64"/>
      </patternFill>
    </fill>
    <fill>
      <patternFill patternType="solid">
        <fgColor indexed="26"/>
        <bgColor indexed="26"/>
      </patternFill>
    </fill>
    <fill>
      <patternFill patternType="solid">
        <fgColor theme="5" tint="0.79998168889431442"/>
        <bgColor indexed="64"/>
      </patternFill>
    </fill>
  </fills>
  <borders count="132">
    <border>
      <left/>
      <right/>
      <top/>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top style="thin">
        <color indexed="64"/>
      </top>
      <bottom style="thin">
        <color indexed="64"/>
      </bottom>
      <diagonal/>
    </border>
    <border>
      <left style="thin">
        <color indexed="64"/>
      </left>
      <right style="double">
        <color indexed="64"/>
      </right>
      <top style="thin">
        <color indexed="64"/>
      </top>
      <bottom style="thin">
        <color indexed="64"/>
      </bottom>
      <diagonal/>
    </border>
    <border>
      <left style="thin">
        <color indexed="64"/>
      </left>
      <right style="thin">
        <color indexed="64"/>
      </right>
      <top style="thin">
        <color indexed="64"/>
      </top>
      <bottom style="double">
        <color indexed="64"/>
      </bottom>
      <diagonal/>
    </border>
    <border>
      <left style="thin">
        <color indexed="64"/>
      </left>
      <right style="double">
        <color indexed="64"/>
      </right>
      <top style="thin">
        <color indexed="64"/>
      </top>
      <bottom style="double">
        <color indexed="64"/>
      </bottom>
      <diagonal/>
    </border>
    <border>
      <left/>
      <right style="thin">
        <color indexed="64"/>
      </right>
      <top style="thin">
        <color indexed="64"/>
      </top>
      <bottom style="double">
        <color indexed="64"/>
      </bottom>
      <diagonal/>
    </border>
    <border>
      <left/>
      <right/>
      <top style="thin">
        <color indexed="64"/>
      </top>
      <bottom style="double">
        <color indexed="64"/>
      </bottom>
      <diagonal/>
    </border>
    <border>
      <left/>
      <right style="double">
        <color indexed="64"/>
      </right>
      <top style="thin">
        <color indexed="64"/>
      </top>
      <bottom style="double">
        <color indexed="64"/>
      </bottom>
      <diagonal/>
    </border>
    <border>
      <left style="thin">
        <color indexed="64"/>
      </left>
      <right/>
      <top style="thin">
        <color indexed="64"/>
      </top>
      <bottom style="double">
        <color indexed="64"/>
      </bottom>
      <diagonal/>
    </border>
    <border>
      <left/>
      <right style="double">
        <color indexed="64"/>
      </right>
      <top/>
      <bottom style="thin">
        <color indexed="64"/>
      </bottom>
      <diagonal/>
    </border>
    <border>
      <left/>
      <right/>
      <top style="thin">
        <color indexed="64"/>
      </top>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double">
        <color indexed="64"/>
      </right>
      <top style="double">
        <color indexed="64"/>
      </top>
      <bottom style="double">
        <color indexed="64"/>
      </bottom>
      <diagonal/>
    </border>
    <border>
      <left style="double">
        <color indexed="64"/>
      </left>
      <right/>
      <top style="double">
        <color indexed="64"/>
      </top>
      <bottom style="double">
        <color indexed="64"/>
      </bottom>
      <diagonal/>
    </border>
    <border>
      <left/>
      <right/>
      <top style="double">
        <color indexed="64"/>
      </top>
      <bottom style="double">
        <color indexed="64"/>
      </bottom>
      <diagonal/>
    </border>
    <border>
      <left/>
      <right/>
      <top/>
      <bottom style="dotted">
        <color auto="1"/>
      </bottom>
      <diagonal/>
    </border>
    <border>
      <left/>
      <right/>
      <top style="dotted">
        <color auto="1"/>
      </top>
      <bottom/>
      <diagonal/>
    </border>
    <border>
      <left style="double">
        <color indexed="64"/>
      </left>
      <right style="thin">
        <color indexed="64"/>
      </right>
      <top style="thin">
        <color indexed="64"/>
      </top>
      <bottom style="double">
        <color indexed="64"/>
      </bottom>
      <diagonal/>
    </border>
    <border>
      <left style="double">
        <color indexed="64"/>
      </left>
      <right style="thin">
        <color indexed="64"/>
      </right>
      <top style="thin">
        <color indexed="64"/>
      </top>
      <bottom style="thin">
        <color indexed="64"/>
      </bottom>
      <diagonal/>
    </border>
    <border>
      <left style="thick">
        <color indexed="64"/>
      </left>
      <right style="thin">
        <color indexed="64"/>
      </right>
      <top style="thick">
        <color indexed="64"/>
      </top>
      <bottom/>
      <diagonal/>
    </border>
    <border>
      <left style="thin">
        <color indexed="64"/>
      </left>
      <right style="thin">
        <color indexed="64"/>
      </right>
      <top style="thick">
        <color indexed="64"/>
      </top>
      <bottom style="thin">
        <color indexed="64"/>
      </bottom>
      <diagonal/>
    </border>
    <border>
      <left style="thin">
        <color indexed="64"/>
      </left>
      <right style="thick">
        <color indexed="64"/>
      </right>
      <top style="thick">
        <color indexed="64"/>
      </top>
      <bottom/>
      <diagonal/>
    </border>
    <border>
      <left style="thick">
        <color indexed="64"/>
      </left>
      <right style="thin">
        <color indexed="64"/>
      </right>
      <top/>
      <bottom style="double">
        <color indexed="64"/>
      </bottom>
      <diagonal/>
    </border>
    <border>
      <left style="thin">
        <color indexed="64"/>
      </left>
      <right style="thick">
        <color indexed="64"/>
      </right>
      <top/>
      <bottom style="double">
        <color indexed="64"/>
      </bottom>
      <diagonal/>
    </border>
    <border>
      <left style="thick">
        <color indexed="64"/>
      </left>
      <right style="thin">
        <color indexed="64"/>
      </right>
      <top/>
      <bottom/>
      <diagonal/>
    </border>
    <border>
      <left style="thin">
        <color indexed="64"/>
      </left>
      <right style="thick">
        <color indexed="64"/>
      </right>
      <top/>
      <bottom/>
      <diagonal/>
    </border>
    <border>
      <left style="thick">
        <color indexed="64"/>
      </left>
      <right style="thin">
        <color indexed="64"/>
      </right>
      <top/>
      <bottom style="thick">
        <color indexed="64"/>
      </bottom>
      <diagonal/>
    </border>
    <border>
      <left style="thin">
        <color indexed="64"/>
      </left>
      <right style="thick">
        <color indexed="64"/>
      </right>
      <top/>
      <bottom style="thick">
        <color indexed="64"/>
      </bottom>
      <diagonal/>
    </border>
    <border>
      <left style="thin">
        <color indexed="64"/>
      </left>
      <right style="thin">
        <color indexed="64"/>
      </right>
      <top style="double">
        <color indexed="64"/>
      </top>
      <bottom style="thin">
        <color indexed="64"/>
      </bottom>
      <diagonal/>
    </border>
    <border>
      <left style="thin">
        <color indexed="64"/>
      </left>
      <right style="thin">
        <color indexed="64"/>
      </right>
      <top style="thin">
        <color indexed="64"/>
      </top>
      <bottom style="thick">
        <color indexed="64"/>
      </bottom>
      <diagonal/>
    </border>
    <border>
      <left style="double">
        <color indexed="64"/>
      </left>
      <right style="thin">
        <color indexed="64"/>
      </right>
      <top style="double">
        <color indexed="64"/>
      </top>
      <bottom style="thin">
        <color indexed="64"/>
      </bottom>
      <diagonal/>
    </border>
    <border>
      <left/>
      <right style="double">
        <color indexed="64"/>
      </right>
      <top style="double">
        <color indexed="64"/>
      </top>
      <bottom style="double">
        <color indexed="64"/>
      </bottom>
      <diagonal/>
    </border>
    <border>
      <left/>
      <right/>
      <top/>
      <bottom style="double">
        <color indexed="64"/>
      </bottom>
      <diagonal/>
    </border>
    <border>
      <left style="medium">
        <color indexed="64"/>
      </left>
      <right style="thin">
        <color indexed="64"/>
      </right>
      <top style="medium">
        <color indexed="64"/>
      </top>
      <bottom/>
      <diagonal/>
    </border>
    <border>
      <left style="thin">
        <color indexed="64"/>
      </left>
      <right/>
      <top style="medium">
        <color indexed="64"/>
      </top>
      <bottom style="thin">
        <color indexed="64"/>
      </bottom>
      <diagonal/>
    </border>
    <border>
      <left/>
      <right style="thin">
        <color indexed="64"/>
      </right>
      <top style="medium">
        <color indexed="64"/>
      </top>
      <bottom style="thin">
        <color indexed="64"/>
      </bottom>
      <diagonal/>
    </border>
    <border>
      <left style="medium">
        <color indexed="64"/>
      </left>
      <right style="thin">
        <color indexed="64"/>
      </right>
      <top/>
      <bottom style="double">
        <color indexed="64"/>
      </bottom>
      <diagonal/>
    </border>
    <border>
      <left style="medium">
        <color indexed="64"/>
      </left>
      <right style="thin">
        <color indexed="64"/>
      </right>
      <top/>
      <bottom style="medium">
        <color indexed="64"/>
      </bottom>
      <diagonal/>
    </border>
    <border>
      <left style="thin">
        <color indexed="64"/>
      </left>
      <right/>
      <top/>
      <bottom style="medium">
        <color indexed="64"/>
      </bottom>
      <diagonal/>
    </border>
    <border>
      <left/>
      <right style="thin">
        <color indexed="64"/>
      </right>
      <top/>
      <bottom style="medium">
        <color indexed="64"/>
      </bottom>
      <diagonal/>
    </border>
    <border>
      <left/>
      <right/>
      <top style="medium">
        <color indexed="64"/>
      </top>
      <bottom/>
      <diagonal/>
    </border>
    <border>
      <left/>
      <right style="medium">
        <color indexed="64"/>
      </right>
      <top style="medium">
        <color indexed="64"/>
      </top>
      <bottom/>
      <diagonal/>
    </border>
    <border>
      <left/>
      <right style="medium">
        <color indexed="64"/>
      </right>
      <top/>
      <bottom style="medium">
        <color indexed="64"/>
      </bottom>
      <diagonal/>
    </border>
    <border>
      <left/>
      <right style="medium">
        <color indexed="64"/>
      </right>
      <top/>
      <bottom style="double">
        <color indexed="64"/>
      </bottom>
      <diagonal/>
    </border>
    <border>
      <left style="double">
        <color indexed="64"/>
      </left>
      <right/>
      <top style="thin">
        <color indexed="64"/>
      </top>
      <bottom/>
      <diagonal/>
    </border>
    <border>
      <left style="thin">
        <color indexed="64"/>
      </left>
      <right style="double">
        <color indexed="64"/>
      </right>
      <top/>
      <bottom style="thin">
        <color indexed="64"/>
      </bottom>
      <diagonal/>
    </border>
    <border>
      <left style="double">
        <color indexed="64"/>
      </left>
      <right style="thin">
        <color indexed="64"/>
      </right>
      <top/>
      <bottom style="thin">
        <color indexed="64"/>
      </bottom>
      <diagonal/>
    </border>
    <border>
      <left style="thin">
        <color indexed="64"/>
      </left>
      <right/>
      <top style="double">
        <color indexed="64"/>
      </top>
      <bottom style="thin">
        <color indexed="64"/>
      </bottom>
      <diagonal/>
    </border>
    <border>
      <left/>
      <right style="medium">
        <color indexed="64"/>
      </right>
      <top style="thin">
        <color indexed="64"/>
      </top>
      <bottom/>
      <diagonal/>
    </border>
    <border>
      <left style="thin">
        <color indexed="64"/>
      </left>
      <right style="medium">
        <color indexed="64"/>
      </right>
      <top style="thin">
        <color indexed="64"/>
      </top>
      <bottom style="double">
        <color indexed="64"/>
      </bottom>
      <diagonal/>
    </border>
    <border>
      <left style="medium">
        <color indexed="64"/>
      </left>
      <right style="thin">
        <color indexed="64"/>
      </right>
      <top style="double">
        <color indexed="64"/>
      </top>
      <bottom style="thin">
        <color indexed="64"/>
      </bottom>
      <diagonal/>
    </border>
    <border>
      <left style="thin">
        <color indexed="64"/>
      </left>
      <right style="medium">
        <color indexed="64"/>
      </right>
      <top/>
      <bottom style="thin">
        <color indexed="64"/>
      </bottom>
      <diagonal/>
    </border>
    <border>
      <left/>
      <right style="double">
        <color indexed="64"/>
      </right>
      <top style="thin">
        <color indexed="64"/>
      </top>
      <bottom/>
      <diagonal/>
    </border>
    <border>
      <left style="medium">
        <color indexed="64"/>
      </left>
      <right style="double">
        <color indexed="64"/>
      </right>
      <top style="medium">
        <color indexed="64"/>
      </top>
      <bottom style="double">
        <color indexed="64"/>
      </bottom>
      <diagonal/>
    </border>
    <border>
      <left/>
      <right style="thin">
        <color indexed="64"/>
      </right>
      <top style="medium">
        <color indexed="64"/>
      </top>
      <bottom style="double">
        <color indexed="64"/>
      </bottom>
      <diagonal/>
    </border>
    <border>
      <left style="double">
        <color indexed="64"/>
      </left>
      <right style="thin">
        <color indexed="64"/>
      </right>
      <top style="medium">
        <color indexed="64"/>
      </top>
      <bottom style="double">
        <color indexed="64"/>
      </bottom>
      <diagonal/>
    </border>
    <border>
      <left style="medium">
        <color indexed="64"/>
      </left>
      <right style="thin">
        <color indexed="64"/>
      </right>
      <top style="medium">
        <color indexed="64"/>
      </top>
      <bottom style="double">
        <color indexed="64"/>
      </bottom>
      <diagonal/>
    </border>
    <border>
      <left style="thin">
        <color indexed="64"/>
      </left>
      <right/>
      <top style="medium">
        <color indexed="64"/>
      </top>
      <bottom style="double">
        <color indexed="64"/>
      </bottom>
      <diagonal/>
    </border>
    <border>
      <left style="thin">
        <color indexed="64"/>
      </left>
      <right style="double">
        <color indexed="64"/>
      </right>
      <top style="medium">
        <color indexed="64"/>
      </top>
      <bottom style="double">
        <color indexed="64"/>
      </bottom>
      <diagonal/>
    </border>
    <border>
      <left style="thin">
        <color indexed="64"/>
      </left>
      <right style="medium">
        <color indexed="64"/>
      </right>
      <top style="medium">
        <color indexed="64"/>
      </top>
      <bottom style="double">
        <color indexed="64"/>
      </bottom>
      <diagonal/>
    </border>
    <border>
      <left style="medium">
        <color indexed="64"/>
      </left>
      <right style="double">
        <color indexed="64"/>
      </right>
      <top style="thin">
        <color indexed="64"/>
      </top>
      <bottom style="thin">
        <color indexed="64"/>
      </bottom>
      <diagonal/>
    </border>
    <border>
      <left style="medium">
        <color indexed="64"/>
      </left>
      <right style="double">
        <color indexed="64"/>
      </right>
      <top style="double">
        <color indexed="64"/>
      </top>
      <bottom style="medium">
        <color indexed="64"/>
      </bottom>
      <diagonal/>
    </border>
    <border>
      <left style="thin">
        <color indexed="64"/>
      </left>
      <right style="thin">
        <color indexed="64"/>
      </right>
      <top style="medium">
        <color indexed="64"/>
      </top>
      <bottom style="double">
        <color indexed="64"/>
      </bottom>
      <diagonal/>
    </border>
    <border>
      <left/>
      <right style="medium">
        <color indexed="64"/>
      </right>
      <top style="medium">
        <color indexed="64"/>
      </top>
      <bottom style="double">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double">
        <color indexed="64"/>
      </bottom>
      <diagonal/>
    </border>
    <border>
      <left style="double">
        <color indexed="64"/>
      </left>
      <right/>
      <top style="double">
        <color indexed="64"/>
      </top>
      <bottom style="medium">
        <color indexed="64"/>
      </bottom>
      <diagonal/>
    </border>
    <border>
      <left/>
      <right/>
      <top style="double">
        <color indexed="64"/>
      </top>
      <bottom style="medium">
        <color indexed="64"/>
      </bottom>
      <diagonal/>
    </border>
    <border>
      <left/>
      <right style="double">
        <color indexed="64"/>
      </right>
      <top style="double">
        <color indexed="64"/>
      </top>
      <bottom style="medium">
        <color indexed="64"/>
      </bottom>
      <diagonal/>
    </border>
    <border>
      <left style="medium">
        <color indexed="64"/>
      </left>
      <right/>
      <top style="medium">
        <color indexed="64"/>
      </top>
      <bottom/>
      <diagonal/>
    </border>
    <border>
      <left style="medium">
        <color indexed="64"/>
      </left>
      <right/>
      <top/>
      <bottom style="thin">
        <color indexed="64"/>
      </bottom>
      <diagonal/>
    </border>
    <border>
      <left/>
      <right style="medium">
        <color indexed="64"/>
      </right>
      <top/>
      <bottom style="thin">
        <color indexed="64"/>
      </bottom>
      <diagonal/>
    </border>
    <border>
      <left/>
      <right style="double">
        <color indexed="64"/>
      </right>
      <top/>
      <bottom style="medium">
        <color indexed="64"/>
      </bottom>
      <diagonal/>
    </border>
    <border>
      <left style="double">
        <color indexed="64"/>
      </left>
      <right/>
      <top/>
      <bottom style="medium">
        <color indexed="64"/>
      </bottom>
      <diagonal/>
    </border>
    <border>
      <left style="double">
        <color indexed="64"/>
      </left>
      <right style="medium">
        <color indexed="64"/>
      </right>
      <top style="medium">
        <color indexed="64"/>
      </top>
      <bottom style="double">
        <color indexed="64"/>
      </bottom>
      <diagonal/>
    </border>
    <border>
      <left style="double">
        <color indexed="64"/>
      </left>
      <right style="medium">
        <color indexed="64"/>
      </right>
      <top/>
      <bottom style="thin">
        <color indexed="64"/>
      </bottom>
      <diagonal/>
    </border>
    <border>
      <left style="double">
        <color indexed="64"/>
      </left>
      <right style="medium">
        <color indexed="64"/>
      </right>
      <top style="thin">
        <color indexed="64"/>
      </top>
      <bottom style="thin">
        <color indexed="64"/>
      </bottom>
      <diagonal/>
    </border>
    <border>
      <left style="thin">
        <color indexed="64"/>
      </left>
      <right style="medium">
        <color indexed="64"/>
      </right>
      <top style="double">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style="dotted">
        <color indexed="64"/>
      </right>
      <top style="thin">
        <color indexed="64"/>
      </top>
      <bottom style="dotted">
        <color indexed="64"/>
      </bottom>
      <diagonal/>
    </border>
    <border>
      <left style="dotted">
        <color indexed="64"/>
      </left>
      <right style="dotted">
        <color indexed="64"/>
      </right>
      <top style="thin">
        <color indexed="64"/>
      </top>
      <bottom style="dotted">
        <color indexed="64"/>
      </bottom>
      <diagonal/>
    </border>
    <border>
      <left style="dotted">
        <color indexed="64"/>
      </left>
      <right style="thin">
        <color indexed="64"/>
      </right>
      <top style="thin">
        <color indexed="64"/>
      </top>
      <bottom style="dotted">
        <color indexed="64"/>
      </bottom>
      <diagonal/>
    </border>
    <border>
      <left style="thin">
        <color indexed="64"/>
      </left>
      <right style="dotted">
        <color indexed="64"/>
      </right>
      <top style="dotted">
        <color indexed="64"/>
      </top>
      <bottom style="thin">
        <color indexed="64"/>
      </bottom>
      <diagonal/>
    </border>
    <border>
      <left style="dotted">
        <color indexed="64"/>
      </left>
      <right style="dotted">
        <color indexed="64"/>
      </right>
      <top style="dotted">
        <color indexed="64"/>
      </top>
      <bottom style="thin">
        <color indexed="64"/>
      </bottom>
      <diagonal/>
    </border>
    <border>
      <left style="dotted">
        <color indexed="64"/>
      </left>
      <right style="thin">
        <color indexed="64"/>
      </right>
      <top style="dotted">
        <color indexed="64"/>
      </top>
      <bottom style="thin">
        <color indexed="64"/>
      </bottom>
      <diagonal/>
    </border>
    <border>
      <left style="thin">
        <color indexed="64"/>
      </left>
      <right style="thin">
        <color indexed="64"/>
      </right>
      <top style="thin">
        <color indexed="64"/>
      </top>
      <bottom style="dotted">
        <color indexed="64"/>
      </bottom>
      <diagonal/>
    </border>
    <border>
      <left/>
      <right/>
      <top style="medium">
        <color indexed="64"/>
      </top>
      <bottom style="double">
        <color indexed="64"/>
      </bottom>
      <diagonal/>
    </border>
    <border>
      <left style="thin">
        <color indexed="64"/>
      </left>
      <right/>
      <top style="double">
        <color indexed="64"/>
      </top>
      <bottom style="medium">
        <color indexed="64"/>
      </bottom>
      <diagonal/>
    </border>
    <border>
      <left/>
      <right style="thin">
        <color indexed="64"/>
      </right>
      <top style="double">
        <color indexed="64"/>
      </top>
      <bottom style="medium">
        <color indexed="64"/>
      </bottom>
      <diagonal/>
    </border>
    <border>
      <left/>
      <right style="thin">
        <color indexed="64"/>
      </right>
      <top style="double">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diagonal/>
    </border>
    <border>
      <left style="thin">
        <color indexed="64"/>
      </left>
      <right style="medium">
        <color indexed="64"/>
      </right>
      <top/>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double">
        <color indexed="64"/>
      </left>
      <right style="thin">
        <color indexed="64"/>
      </right>
      <top/>
      <bottom style="medium">
        <color indexed="64"/>
      </bottom>
      <diagonal/>
    </border>
    <border>
      <left style="thin">
        <color indexed="64"/>
      </left>
      <right style="double">
        <color indexed="64"/>
      </right>
      <top/>
      <bottom style="medium">
        <color indexed="64"/>
      </bottom>
      <diagonal/>
    </border>
    <border>
      <left/>
      <right style="medium">
        <color indexed="64"/>
      </right>
      <top style="double">
        <color indexed="64"/>
      </top>
      <bottom style="medium">
        <color indexed="64"/>
      </bottom>
      <diagonal/>
    </border>
    <border>
      <left style="thin">
        <color indexed="64"/>
      </left>
      <right style="double">
        <color indexed="64"/>
      </right>
      <top style="double">
        <color indexed="64"/>
      </top>
      <bottom style="thin">
        <color indexed="64"/>
      </bottom>
      <diagonal/>
    </border>
    <border>
      <left/>
      <right style="double">
        <color indexed="64"/>
      </right>
      <top style="medium">
        <color indexed="64"/>
      </top>
      <bottom/>
      <diagonal/>
    </border>
    <border>
      <left style="double">
        <color indexed="64"/>
      </left>
      <right/>
      <top style="medium">
        <color indexed="64"/>
      </top>
      <bottom/>
      <diagonal/>
    </border>
    <border>
      <left style="double">
        <color indexed="64"/>
      </left>
      <right/>
      <top/>
      <bottom style="thin">
        <color indexed="64"/>
      </bottom>
      <diagonal/>
    </border>
    <border>
      <left style="double">
        <color indexed="64"/>
      </left>
      <right style="double">
        <color indexed="64"/>
      </right>
      <top style="medium">
        <color indexed="64"/>
      </top>
      <bottom style="double">
        <color indexed="64"/>
      </bottom>
      <diagonal/>
    </border>
    <border>
      <left style="double">
        <color indexed="64"/>
      </left>
      <right style="double">
        <color indexed="64"/>
      </right>
      <top style="double">
        <color indexed="64"/>
      </top>
      <bottom style="thin">
        <color indexed="64"/>
      </bottom>
      <diagonal/>
    </border>
    <border>
      <left style="double">
        <color indexed="64"/>
      </left>
      <right style="double">
        <color indexed="64"/>
      </right>
      <top style="thin">
        <color indexed="64"/>
      </top>
      <bottom style="thin">
        <color indexed="64"/>
      </bottom>
      <diagonal/>
    </border>
    <border>
      <left style="double">
        <color indexed="64"/>
      </left>
      <right style="double">
        <color indexed="64"/>
      </right>
      <top style="double">
        <color indexed="64"/>
      </top>
      <bottom style="medium">
        <color indexed="64"/>
      </bottom>
      <diagonal/>
    </border>
    <border>
      <left style="double">
        <color indexed="64"/>
      </left>
      <right style="double">
        <color indexed="64"/>
      </right>
      <top/>
      <bottom style="thin">
        <color indexed="64"/>
      </bottom>
      <diagonal/>
    </border>
    <border>
      <left style="medium">
        <color indexed="64"/>
      </left>
      <right/>
      <top style="thin">
        <color indexed="64"/>
      </top>
      <bottom style="double">
        <color indexed="64"/>
      </bottom>
      <diagonal/>
    </border>
    <border>
      <left style="medium">
        <color indexed="64"/>
      </left>
      <right/>
      <top style="thin">
        <color indexed="64"/>
      </top>
      <bottom/>
      <diagonal/>
    </border>
    <border>
      <left style="medium">
        <color indexed="64"/>
      </left>
      <right/>
      <top/>
      <bottom style="medium">
        <color indexed="64"/>
      </bottom>
      <diagonal/>
    </border>
    <border>
      <left style="medium">
        <color indexed="64"/>
      </left>
      <right style="thin">
        <color indexed="64"/>
      </right>
      <top style="thin">
        <color indexed="64"/>
      </top>
      <bottom style="double">
        <color indexed="64"/>
      </bottom>
      <diagonal/>
    </border>
    <border>
      <left style="medium">
        <color indexed="64"/>
      </left>
      <right/>
      <top style="medium">
        <color indexed="64"/>
      </top>
      <bottom style="double">
        <color indexed="64"/>
      </bottom>
      <diagonal/>
    </border>
    <border>
      <left style="medium">
        <color indexed="64"/>
      </left>
      <right/>
      <top style="thin">
        <color indexed="64"/>
      </top>
      <bottom style="thin">
        <color indexed="64"/>
      </bottom>
      <diagonal/>
    </border>
    <border>
      <left style="medium">
        <color indexed="64"/>
      </left>
      <right/>
      <top style="double">
        <color indexed="64"/>
      </top>
      <bottom style="medium">
        <color indexed="64"/>
      </bottom>
      <diagonal/>
    </border>
    <border>
      <left style="medium">
        <color indexed="64"/>
      </left>
      <right style="double">
        <color indexed="64"/>
      </right>
      <top style="double">
        <color indexed="64"/>
      </top>
      <bottom style="thin">
        <color indexed="64"/>
      </bottom>
      <diagonal/>
    </border>
    <border>
      <left/>
      <right/>
      <top style="medium">
        <color indexed="64"/>
      </top>
      <bottom style="thin">
        <color indexed="64"/>
      </bottom>
      <diagonal/>
    </border>
    <border>
      <left style="medium">
        <color indexed="64"/>
      </left>
      <right/>
      <top/>
      <bottom style="double">
        <color indexed="64"/>
      </bottom>
      <diagonal/>
    </border>
  </borders>
  <cellStyleXfs count="8">
    <xf numFmtId="0" fontId="0" fillId="0" borderId="0">
      <alignment vertical="center"/>
    </xf>
    <xf numFmtId="0" fontId="2" fillId="0" borderId="0" applyBorder="0"/>
    <xf numFmtId="0" fontId="6" fillId="0" borderId="0"/>
    <xf numFmtId="0" fontId="1"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cellStyleXfs>
  <cellXfs count="371">
    <xf numFmtId="0" fontId="0" fillId="0" borderId="0" xfId="0">
      <alignment vertical="center"/>
    </xf>
    <xf numFmtId="0" fontId="10" fillId="0" borderId="0" xfId="0" applyFont="1">
      <alignment vertical="center"/>
    </xf>
    <xf numFmtId="0" fontId="11" fillId="0" borderId="0" xfId="1" applyFont="1" applyAlignment="1">
      <alignment vertical="center"/>
    </xf>
    <xf numFmtId="178" fontId="12" fillId="0" borderId="0" xfId="1" applyNumberFormat="1" applyFont="1" applyBorder="1" applyAlignment="1">
      <alignment horizontal="center" vertical="center"/>
    </xf>
    <xf numFmtId="177" fontId="12" fillId="0" borderId="0" xfId="1" applyNumberFormat="1" applyFont="1" applyBorder="1" applyAlignment="1">
      <alignment horizontal="center" vertical="center"/>
    </xf>
    <xf numFmtId="0" fontId="10" fillId="0" borderId="0" xfId="0" applyFont="1" applyAlignment="1">
      <alignment horizontal="center" vertical="center"/>
    </xf>
    <xf numFmtId="0" fontId="15" fillId="0" borderId="0" xfId="3" applyFont="1">
      <alignment vertical="center"/>
    </xf>
    <xf numFmtId="182" fontId="15" fillId="0" borderId="3" xfId="2" applyNumberFormat="1" applyFont="1" applyBorder="1"/>
    <xf numFmtId="0" fontId="15" fillId="0" borderId="0" xfId="2" applyFont="1"/>
    <xf numFmtId="0" fontId="10" fillId="0" borderId="3" xfId="0" applyFont="1" applyBorder="1">
      <alignment vertical="center"/>
    </xf>
    <xf numFmtId="180" fontId="17" fillId="0" borderId="3" xfId="0" applyNumberFormat="1" applyFont="1" applyBorder="1" applyAlignment="1">
      <alignment horizontal="right" vertical="center"/>
    </xf>
    <xf numFmtId="181" fontId="17" fillId="0" borderId="10" xfId="0" applyNumberFormat="1" applyFont="1" applyBorder="1" applyAlignment="1">
      <alignment horizontal="right" vertical="center"/>
    </xf>
    <xf numFmtId="181" fontId="17" fillId="0" borderId="4" xfId="0" applyNumberFormat="1" applyFont="1" applyBorder="1" applyAlignment="1">
      <alignment horizontal="right" vertical="center"/>
    </xf>
    <xf numFmtId="180" fontId="13" fillId="0" borderId="3" xfId="0" applyNumberFormat="1" applyFont="1" applyBorder="1" applyAlignment="1">
      <alignment horizontal="right" vertical="center"/>
    </xf>
    <xf numFmtId="181" fontId="13" fillId="0" borderId="10" xfId="0" applyNumberFormat="1" applyFont="1" applyBorder="1" applyAlignment="1">
      <alignment horizontal="right" vertical="center"/>
    </xf>
    <xf numFmtId="0" fontId="10" fillId="2" borderId="12" xfId="0" applyFont="1" applyFill="1" applyBorder="1" applyAlignment="1">
      <alignment horizontal="center" vertical="center"/>
    </xf>
    <xf numFmtId="0" fontId="10" fillId="2" borderId="11" xfId="0" applyFont="1" applyFill="1" applyBorder="1" applyAlignment="1">
      <alignment horizontal="center" vertical="center"/>
    </xf>
    <xf numFmtId="0" fontId="10" fillId="0" borderId="16" xfId="0" applyFont="1" applyBorder="1">
      <alignment vertical="center"/>
    </xf>
    <xf numFmtId="0" fontId="10" fillId="0" borderId="14" xfId="0" applyFont="1" applyBorder="1">
      <alignment vertical="center"/>
    </xf>
    <xf numFmtId="180" fontId="17" fillId="0" borderId="11" xfId="0" applyNumberFormat="1" applyFont="1" applyBorder="1" applyAlignment="1">
      <alignment horizontal="right" vertical="center"/>
    </xf>
    <xf numFmtId="181" fontId="17" fillId="0" borderId="13" xfId="0" applyNumberFormat="1" applyFont="1" applyBorder="1" applyAlignment="1">
      <alignment horizontal="right" vertical="center"/>
    </xf>
    <xf numFmtId="179" fontId="10" fillId="0" borderId="0" xfId="0" applyNumberFormat="1" applyFont="1">
      <alignment vertical="center"/>
    </xf>
    <xf numFmtId="0" fontId="14" fillId="0" borderId="21" xfId="2" applyFont="1" applyBorder="1" applyAlignment="1">
      <alignment horizontal="center"/>
    </xf>
    <xf numFmtId="0" fontId="10" fillId="0" borderId="24" xfId="0" applyFont="1" applyBorder="1">
      <alignment vertical="center"/>
    </xf>
    <xf numFmtId="0" fontId="15" fillId="0" borderId="24" xfId="2" applyFont="1" applyBorder="1" applyAlignment="1">
      <alignment shrinkToFit="1"/>
    </xf>
    <xf numFmtId="0" fontId="10" fillId="0" borderId="25" xfId="0" applyFont="1" applyBorder="1">
      <alignment vertical="center"/>
    </xf>
    <xf numFmtId="0" fontId="15" fillId="0" borderId="25" xfId="2" applyFont="1" applyBorder="1" applyAlignment="1">
      <alignment shrinkToFit="1"/>
    </xf>
    <xf numFmtId="0" fontId="10" fillId="2" borderId="26" xfId="0" applyFont="1" applyFill="1" applyBorder="1" applyAlignment="1">
      <alignment horizontal="center" vertical="center"/>
    </xf>
    <xf numFmtId="5" fontId="13" fillId="3" borderId="27" xfId="0" applyNumberFormat="1" applyFont="1" applyFill="1" applyBorder="1" applyAlignment="1">
      <alignment horizontal="right" vertical="center"/>
    </xf>
    <xf numFmtId="0" fontId="17" fillId="0" borderId="10" xfId="2" applyFont="1" applyBorder="1" applyAlignment="1">
      <alignment horizontal="center"/>
    </xf>
    <xf numFmtId="0" fontId="17" fillId="0" borderId="12" xfId="2" applyFont="1" applyBorder="1" applyAlignment="1">
      <alignment horizontal="center"/>
    </xf>
    <xf numFmtId="0" fontId="13" fillId="0" borderId="0" xfId="0" applyFont="1">
      <alignment vertical="center"/>
    </xf>
    <xf numFmtId="0" fontId="17" fillId="0" borderId="0" xfId="0" applyFont="1">
      <alignment vertical="center"/>
    </xf>
    <xf numFmtId="0" fontId="17" fillId="0" borderId="3" xfId="0" applyFont="1" applyBorder="1">
      <alignment vertical="center"/>
    </xf>
    <xf numFmtId="0" fontId="13" fillId="0" borderId="3" xfId="0" applyFont="1" applyBorder="1">
      <alignment vertical="center"/>
    </xf>
    <xf numFmtId="0" fontId="13" fillId="0" borderId="10" xfId="2" applyFont="1" applyBorder="1" applyAlignment="1">
      <alignment horizontal="center"/>
    </xf>
    <xf numFmtId="0" fontId="13" fillId="0" borderId="5" xfId="0" applyFont="1" applyBorder="1">
      <alignment vertical="center"/>
    </xf>
    <xf numFmtId="0" fontId="13" fillId="0" borderId="1" xfId="0" applyFont="1" applyBorder="1">
      <alignment vertical="center"/>
    </xf>
    <xf numFmtId="0" fontId="13" fillId="0" borderId="17" xfId="0" applyFont="1" applyBorder="1">
      <alignment vertical="center"/>
    </xf>
    <xf numFmtId="0" fontId="13" fillId="2" borderId="29" xfId="0" applyFont="1" applyFill="1" applyBorder="1" applyAlignment="1">
      <alignment vertical="center" shrinkToFit="1"/>
    </xf>
    <xf numFmtId="0" fontId="10" fillId="2" borderId="13" xfId="0" applyFont="1" applyFill="1" applyBorder="1" applyAlignment="1">
      <alignment horizontal="center" vertical="center" shrinkToFit="1"/>
    </xf>
    <xf numFmtId="0" fontId="19" fillId="2" borderId="13" xfId="0" applyFont="1" applyFill="1" applyBorder="1" applyAlignment="1">
      <alignment horizontal="center" vertical="center" wrapText="1" shrinkToFit="1"/>
    </xf>
    <xf numFmtId="0" fontId="13" fillId="2" borderId="3" xfId="0" applyFont="1" applyFill="1" applyBorder="1" applyAlignment="1">
      <alignment vertical="center" shrinkToFit="1"/>
    </xf>
    <xf numFmtId="0" fontId="10" fillId="2" borderId="11" xfId="0" applyFont="1" applyFill="1" applyBorder="1" applyAlignment="1">
      <alignment horizontal="center" vertical="center" shrinkToFit="1"/>
    </xf>
    <xf numFmtId="5" fontId="17" fillId="0" borderId="3" xfId="0" applyNumberFormat="1" applyFont="1" applyBorder="1" applyAlignment="1">
      <alignment horizontal="right" vertical="center"/>
    </xf>
    <xf numFmtId="5" fontId="13" fillId="0" borderId="3" xfId="0" applyNumberFormat="1" applyFont="1" applyBorder="1" applyAlignment="1">
      <alignment horizontal="right" vertical="center"/>
    </xf>
    <xf numFmtId="5" fontId="17" fillId="0" borderId="11" xfId="0" applyNumberFormat="1" applyFont="1" applyBorder="1" applyAlignment="1">
      <alignment horizontal="right" vertical="center"/>
    </xf>
    <xf numFmtId="181" fontId="17" fillId="0" borderId="12" xfId="0" applyNumberFormat="1" applyFont="1" applyBorder="1" applyAlignment="1">
      <alignment horizontal="right" vertical="center"/>
    </xf>
    <xf numFmtId="0" fontId="13" fillId="2" borderId="11" xfId="0" applyFont="1" applyFill="1" applyBorder="1" applyAlignment="1">
      <alignment horizontal="center" vertical="center" shrinkToFit="1"/>
    </xf>
    <xf numFmtId="181" fontId="15" fillId="3" borderId="37" xfId="2" applyNumberFormat="1" applyFont="1" applyFill="1" applyBorder="1" applyAlignment="1">
      <alignment vertical="center" shrinkToFit="1"/>
    </xf>
    <xf numFmtId="181" fontId="13" fillId="4" borderId="37" xfId="0" applyNumberFormat="1" applyFont="1" applyFill="1" applyBorder="1" applyAlignment="1">
      <alignment vertical="center" shrinkToFit="1"/>
    </xf>
    <xf numFmtId="181" fontId="17" fillId="4" borderId="13" xfId="0" applyNumberFormat="1" applyFont="1" applyFill="1" applyBorder="1" applyAlignment="1">
      <alignment horizontal="right" vertical="center"/>
    </xf>
    <xf numFmtId="181" fontId="17" fillId="5" borderId="13" xfId="0" applyNumberFormat="1" applyFont="1" applyFill="1" applyBorder="1" applyAlignment="1">
      <alignment horizontal="right" vertical="center"/>
    </xf>
    <xf numFmtId="0" fontId="10" fillId="7" borderId="11" xfId="0" applyFont="1" applyFill="1" applyBorder="1" applyAlignment="1">
      <alignment horizontal="center" vertical="center"/>
    </xf>
    <xf numFmtId="0" fontId="10" fillId="7" borderId="12" xfId="0" applyFont="1" applyFill="1" applyBorder="1" applyAlignment="1">
      <alignment horizontal="center" vertical="center"/>
    </xf>
    <xf numFmtId="0" fontId="10" fillId="7" borderId="0" xfId="0" applyFont="1" applyFill="1">
      <alignment vertical="center"/>
    </xf>
    <xf numFmtId="5" fontId="13" fillId="3" borderId="39" xfId="0" applyNumberFormat="1" applyFont="1" applyFill="1" applyBorder="1" applyAlignment="1">
      <alignment horizontal="right" vertical="center"/>
    </xf>
    <xf numFmtId="5" fontId="13" fillId="5" borderId="3" xfId="0" applyNumberFormat="1" applyFont="1" applyFill="1" applyBorder="1" applyAlignment="1">
      <alignment horizontal="right" vertical="center"/>
    </xf>
    <xf numFmtId="180" fontId="17" fillId="6" borderId="27" xfId="2" applyNumberFormat="1" applyFont="1" applyFill="1" applyBorder="1" applyAlignment="1">
      <alignment horizontal="right"/>
    </xf>
    <xf numFmtId="181" fontId="14" fillId="0" borderId="41" xfId="0" applyNumberFormat="1" applyFont="1" applyBorder="1" applyAlignment="1">
      <alignment horizontal="right" vertical="center"/>
    </xf>
    <xf numFmtId="0" fontId="19" fillId="2" borderId="26" xfId="0" applyFont="1" applyFill="1" applyBorder="1" applyAlignment="1">
      <alignment horizontal="center" vertical="center" wrapText="1" shrinkToFit="1"/>
    </xf>
    <xf numFmtId="181" fontId="17" fillId="0" borderId="27" xfId="0" applyNumberFormat="1" applyFont="1" applyBorder="1" applyAlignment="1">
      <alignment horizontal="right" vertical="center"/>
    </xf>
    <xf numFmtId="181" fontId="13" fillId="0" borderId="27" xfId="0" applyNumberFormat="1" applyFont="1" applyBorder="1" applyAlignment="1">
      <alignment horizontal="right" vertical="center"/>
    </xf>
    <xf numFmtId="181" fontId="17" fillId="0" borderId="26" xfId="0" applyNumberFormat="1" applyFont="1" applyBorder="1" applyAlignment="1">
      <alignment horizontal="right" vertical="center"/>
    </xf>
    <xf numFmtId="181" fontId="17" fillId="3" borderId="26" xfId="0" applyNumberFormat="1" applyFont="1" applyFill="1" applyBorder="1" applyAlignment="1">
      <alignment horizontal="right" vertical="center"/>
    </xf>
    <xf numFmtId="0" fontId="10" fillId="7" borderId="14" xfId="0" applyFont="1" applyFill="1" applyBorder="1">
      <alignment vertical="center"/>
    </xf>
    <xf numFmtId="0" fontId="10" fillId="7" borderId="15" xfId="0" applyFont="1" applyFill="1" applyBorder="1">
      <alignment vertical="center"/>
    </xf>
    <xf numFmtId="0" fontId="10" fillId="7" borderId="37" xfId="0" applyFont="1" applyFill="1" applyBorder="1">
      <alignment vertical="center"/>
    </xf>
    <xf numFmtId="0" fontId="10" fillId="7" borderId="3" xfId="0" applyFont="1" applyFill="1" applyBorder="1">
      <alignment vertical="center"/>
    </xf>
    <xf numFmtId="180" fontId="17" fillId="0" borderId="27" xfId="2" applyNumberFormat="1" applyFont="1" applyBorder="1" applyAlignment="1">
      <alignment horizontal="right"/>
    </xf>
    <xf numFmtId="180" fontId="17" fillId="0" borderId="26" xfId="2" applyNumberFormat="1" applyFont="1" applyBorder="1" applyAlignment="1">
      <alignment horizontal="right"/>
    </xf>
    <xf numFmtId="0" fontId="10" fillId="7" borderId="26" xfId="0" applyFont="1" applyFill="1" applyBorder="1" applyAlignment="1">
      <alignment horizontal="center" vertical="center"/>
    </xf>
    <xf numFmtId="0" fontId="19" fillId="7" borderId="11" xfId="0" applyFont="1" applyFill="1" applyBorder="1" applyAlignment="1">
      <alignment horizontal="center" vertical="center" wrapText="1" shrinkToFit="1"/>
    </xf>
    <xf numFmtId="0" fontId="10" fillId="7" borderId="12" xfId="0" applyFont="1" applyFill="1" applyBorder="1" applyAlignment="1">
      <alignment horizontal="center" vertical="center" shrinkToFit="1"/>
    </xf>
    <xf numFmtId="180" fontId="17" fillId="6" borderId="3" xfId="2" applyNumberFormat="1" applyFont="1" applyFill="1" applyBorder="1" applyAlignment="1">
      <alignment horizontal="right"/>
    </xf>
    <xf numFmtId="180" fontId="17" fillId="6" borderId="10" xfId="2" applyNumberFormat="1" applyFont="1" applyFill="1" applyBorder="1" applyAlignment="1">
      <alignment horizontal="right"/>
    </xf>
    <xf numFmtId="0" fontId="19" fillId="7" borderId="16" xfId="0" applyFont="1" applyFill="1" applyBorder="1" applyAlignment="1">
      <alignment horizontal="center" vertical="center" wrapText="1" shrinkToFit="1"/>
    </xf>
    <xf numFmtId="0" fontId="19" fillId="7" borderId="12" xfId="0" applyFont="1" applyFill="1" applyBorder="1" applyAlignment="1">
      <alignment horizontal="center" vertical="center" wrapText="1" shrinkToFit="1"/>
    </xf>
    <xf numFmtId="0" fontId="19" fillId="7" borderId="0" xfId="0" applyFont="1" applyFill="1" applyAlignment="1">
      <alignment horizontal="center" vertical="center"/>
    </xf>
    <xf numFmtId="0" fontId="19" fillId="7" borderId="14" xfId="0" applyFont="1" applyFill="1" applyBorder="1" applyAlignment="1">
      <alignment horizontal="center" vertical="center" wrapText="1" shrinkToFit="1"/>
    </xf>
    <xf numFmtId="0" fontId="19" fillId="7" borderId="13" xfId="0" applyFont="1" applyFill="1" applyBorder="1" applyAlignment="1">
      <alignment horizontal="center" vertical="center" wrapText="1"/>
    </xf>
    <xf numFmtId="181" fontId="17" fillId="0" borderId="9" xfId="2" applyNumberFormat="1" applyFont="1" applyBorder="1" applyAlignment="1">
      <alignment horizontal="right"/>
    </xf>
    <xf numFmtId="181" fontId="17" fillId="0" borderId="18" xfId="2" applyNumberFormat="1" applyFont="1" applyBorder="1" applyAlignment="1">
      <alignment horizontal="right"/>
    </xf>
    <xf numFmtId="0" fontId="17" fillId="6" borderId="27" xfId="2" applyFont="1" applyFill="1" applyBorder="1" applyAlignment="1">
      <alignment horizontal="right" shrinkToFit="1"/>
    </xf>
    <xf numFmtId="0" fontId="17" fillId="6" borderId="4" xfId="2" applyFont="1" applyFill="1" applyBorder="1" applyAlignment="1">
      <alignment horizontal="right" shrinkToFit="1"/>
    </xf>
    <xf numFmtId="0" fontId="17" fillId="6" borderId="3" xfId="2" applyFont="1" applyFill="1" applyBorder="1" applyAlignment="1">
      <alignment horizontal="right" shrinkToFit="1"/>
    </xf>
    <xf numFmtId="0" fontId="17" fillId="6" borderId="19" xfId="2" applyFont="1" applyFill="1" applyBorder="1" applyAlignment="1">
      <alignment horizontal="right" shrinkToFit="1"/>
    </xf>
    <xf numFmtId="0" fontId="17" fillId="6" borderId="10" xfId="2" applyFont="1" applyFill="1" applyBorder="1" applyAlignment="1">
      <alignment horizontal="right" shrinkToFit="1"/>
    </xf>
    <xf numFmtId="0" fontId="17" fillId="8" borderId="27" xfId="2" applyFont="1" applyFill="1" applyBorder="1" applyAlignment="1">
      <alignment horizontal="right" shrinkToFit="1"/>
    </xf>
    <xf numFmtId="0" fontId="17" fillId="8" borderId="3" xfId="2" applyFont="1" applyFill="1" applyBorder="1" applyAlignment="1">
      <alignment horizontal="right" shrinkToFit="1"/>
    </xf>
    <xf numFmtId="0" fontId="17" fillId="8" borderId="19" xfId="2" applyFont="1" applyFill="1" applyBorder="1" applyAlignment="1">
      <alignment horizontal="right" shrinkToFit="1"/>
    </xf>
    <xf numFmtId="180" fontId="17" fillId="8" borderId="3" xfId="2" applyNumberFormat="1" applyFont="1" applyFill="1" applyBorder="1" applyAlignment="1">
      <alignment horizontal="right" shrinkToFit="1"/>
    </xf>
    <xf numFmtId="183" fontId="17" fillId="8" borderId="19" xfId="2" applyNumberFormat="1" applyFont="1" applyFill="1" applyBorder="1" applyAlignment="1">
      <alignment horizontal="right" shrinkToFit="1"/>
    </xf>
    <xf numFmtId="183" fontId="17" fillId="8" borderId="27" xfId="2" applyNumberFormat="1" applyFont="1" applyFill="1" applyBorder="1" applyAlignment="1">
      <alignment horizontal="right" shrinkToFit="1"/>
    </xf>
    <xf numFmtId="180" fontId="17" fillId="8" borderId="19" xfId="2" applyNumberFormat="1" applyFont="1" applyFill="1" applyBorder="1" applyAlignment="1">
      <alignment horizontal="right" shrinkToFit="1"/>
    </xf>
    <xf numFmtId="184" fontId="17" fillId="6" borderId="27" xfId="2" applyNumberFormat="1" applyFont="1" applyFill="1" applyBorder="1" applyAlignment="1">
      <alignment horizontal="right" shrinkToFit="1"/>
    </xf>
    <xf numFmtId="180" fontId="21" fillId="8" borderId="19" xfId="2" applyNumberFormat="1" applyFont="1" applyFill="1" applyBorder="1" applyAlignment="1">
      <alignment horizontal="right" shrinkToFit="1"/>
    </xf>
    <xf numFmtId="0" fontId="21" fillId="8" borderId="3" xfId="2" applyFont="1" applyFill="1" applyBorder="1" applyAlignment="1">
      <alignment horizontal="right" shrinkToFit="1"/>
    </xf>
    <xf numFmtId="180" fontId="21" fillId="8" borderId="3" xfId="2" applyNumberFormat="1" applyFont="1" applyFill="1" applyBorder="1" applyAlignment="1">
      <alignment horizontal="right" shrinkToFit="1"/>
    </xf>
    <xf numFmtId="0" fontId="21" fillId="8" borderId="19" xfId="2" applyFont="1" applyFill="1" applyBorder="1" applyAlignment="1">
      <alignment horizontal="right" shrinkToFit="1"/>
    </xf>
    <xf numFmtId="183" fontId="21" fillId="8" borderId="3" xfId="2" applyNumberFormat="1" applyFont="1" applyFill="1" applyBorder="1" applyAlignment="1">
      <alignment horizontal="right" shrinkToFit="1"/>
    </xf>
    <xf numFmtId="180" fontId="21" fillId="8" borderId="4" xfId="2" applyNumberFormat="1" applyFont="1" applyFill="1" applyBorder="1" applyAlignment="1">
      <alignment horizontal="right" shrinkToFit="1"/>
    </xf>
    <xf numFmtId="181" fontId="14" fillId="0" borderId="22" xfId="0" applyNumberFormat="1" applyFont="1" applyBorder="1">
      <alignment vertical="center"/>
    </xf>
    <xf numFmtId="181" fontId="14" fillId="0" borderId="23" xfId="0" applyNumberFormat="1" applyFont="1" applyBorder="1">
      <alignment vertical="center"/>
    </xf>
    <xf numFmtId="181" fontId="22" fillId="0" borderId="23" xfId="0" applyNumberFormat="1" applyFont="1" applyBorder="1" applyAlignment="1">
      <alignment vertical="center" shrinkToFit="1"/>
    </xf>
    <xf numFmtId="181" fontId="22" fillId="0" borderId="40" xfId="0" applyNumberFormat="1" applyFont="1" applyBorder="1" applyAlignment="1">
      <alignment vertical="center" shrinkToFit="1"/>
    </xf>
    <xf numFmtId="183" fontId="21" fillId="8" borderId="4" xfId="2" applyNumberFormat="1" applyFont="1" applyFill="1" applyBorder="1" applyAlignment="1">
      <alignment horizontal="right" shrinkToFit="1"/>
    </xf>
    <xf numFmtId="183" fontId="21" fillId="8" borderId="19" xfId="2" applyNumberFormat="1" applyFont="1" applyFill="1" applyBorder="1" applyAlignment="1">
      <alignment horizontal="right" shrinkToFit="1"/>
    </xf>
    <xf numFmtId="184" fontId="21" fillId="8" borderId="19" xfId="2" applyNumberFormat="1" applyFont="1" applyFill="1" applyBorder="1" applyAlignment="1">
      <alignment horizontal="right" shrinkToFit="1"/>
    </xf>
    <xf numFmtId="183" fontId="21" fillId="8" borderId="27" xfId="2" applyNumberFormat="1" applyFont="1" applyFill="1" applyBorder="1" applyAlignment="1">
      <alignment horizontal="right" shrinkToFit="1"/>
    </xf>
    <xf numFmtId="183" fontId="21" fillId="8" borderId="10" xfId="2" applyNumberFormat="1" applyFont="1" applyFill="1" applyBorder="1" applyAlignment="1">
      <alignment horizontal="right" shrinkToFit="1"/>
    </xf>
    <xf numFmtId="184" fontId="17" fillId="6" borderId="4" xfId="2" applyNumberFormat="1" applyFont="1" applyFill="1" applyBorder="1" applyAlignment="1">
      <alignment horizontal="right" shrinkToFit="1"/>
    </xf>
    <xf numFmtId="0" fontId="17" fillId="8" borderId="4" xfId="2" applyFont="1" applyFill="1" applyBorder="1" applyAlignment="1">
      <alignment horizontal="right" shrinkToFit="1"/>
    </xf>
    <xf numFmtId="183" fontId="17" fillId="8" borderId="4" xfId="2" applyNumberFormat="1" applyFont="1" applyFill="1" applyBorder="1" applyAlignment="1">
      <alignment horizontal="right" shrinkToFit="1"/>
    </xf>
    <xf numFmtId="0" fontId="10" fillId="0" borderId="0" xfId="0" applyFont="1" applyAlignment="1"/>
    <xf numFmtId="179" fontId="16" fillId="0" borderId="0" xfId="0" applyNumberFormat="1" applyFont="1">
      <alignment vertical="center"/>
    </xf>
    <xf numFmtId="0" fontId="10" fillId="2" borderId="0" xfId="0" applyFont="1" applyFill="1" applyAlignment="1">
      <alignment horizontal="center" vertical="center" wrapText="1"/>
    </xf>
    <xf numFmtId="181" fontId="10" fillId="0" borderId="34" xfId="0" applyNumberFormat="1" applyFont="1" applyBorder="1" applyAlignment="1">
      <alignment horizontal="center" vertical="center"/>
    </xf>
    <xf numFmtId="0" fontId="15" fillId="0" borderId="46" xfId="2" applyFont="1" applyBorder="1" applyAlignment="1">
      <alignment horizontal="center" vertical="center" shrinkToFit="1"/>
    </xf>
    <xf numFmtId="181" fontId="13" fillId="5" borderId="37" xfId="0" applyNumberFormat="1" applyFont="1" applyFill="1" applyBorder="1" applyAlignment="1">
      <alignment horizontal="center" vertical="center" shrinkToFit="1"/>
    </xf>
    <xf numFmtId="0" fontId="10" fillId="2" borderId="62" xfId="0" applyFont="1" applyFill="1" applyBorder="1" applyAlignment="1">
      <alignment horizontal="center" vertical="center"/>
    </xf>
    <xf numFmtId="0" fontId="10" fillId="2" borderId="65" xfId="0" applyFont="1" applyFill="1" applyBorder="1" applyAlignment="1">
      <alignment horizontal="center" vertical="center"/>
    </xf>
    <xf numFmtId="0" fontId="10" fillId="2" borderId="66" xfId="0" applyFont="1" applyFill="1" applyBorder="1" applyAlignment="1">
      <alignment horizontal="center" vertical="center"/>
    </xf>
    <xf numFmtId="0" fontId="10" fillId="2" borderId="64" xfId="0" applyFont="1" applyFill="1" applyBorder="1" applyAlignment="1">
      <alignment horizontal="center" vertical="center"/>
    </xf>
    <xf numFmtId="0" fontId="10" fillId="2" borderId="67" xfId="0" applyFont="1" applyFill="1" applyBorder="1" applyAlignment="1">
      <alignment horizontal="center" vertical="center"/>
    </xf>
    <xf numFmtId="0" fontId="10" fillId="2" borderId="68" xfId="0" applyFont="1" applyFill="1" applyBorder="1" applyAlignment="1">
      <alignment horizontal="center" vertical="center"/>
    </xf>
    <xf numFmtId="0" fontId="10" fillId="2" borderId="71" xfId="0" applyFont="1" applyFill="1" applyBorder="1" applyAlignment="1">
      <alignment horizontal="center" vertical="center"/>
    </xf>
    <xf numFmtId="0" fontId="14" fillId="0" borderId="70" xfId="2" applyFont="1" applyBorder="1" applyAlignment="1">
      <alignment horizontal="center"/>
    </xf>
    <xf numFmtId="0" fontId="22" fillId="0" borderId="75" xfId="0" applyFont="1" applyBorder="1">
      <alignment vertical="center"/>
    </xf>
    <xf numFmtId="181" fontId="14" fillId="0" borderId="76" xfId="0" applyNumberFormat="1" applyFont="1" applyBorder="1">
      <alignment vertical="center"/>
    </xf>
    <xf numFmtId="181" fontId="22" fillId="0" borderId="76" xfId="0" applyNumberFormat="1" applyFont="1" applyBorder="1" applyAlignment="1">
      <alignment vertical="center" shrinkToFit="1"/>
    </xf>
    <xf numFmtId="181" fontId="22" fillId="0" borderId="77" xfId="0" applyNumberFormat="1" applyFont="1" applyBorder="1" applyAlignment="1">
      <alignment vertical="center" shrinkToFit="1"/>
    </xf>
    <xf numFmtId="0" fontId="10" fillId="9" borderId="64" xfId="0" applyFont="1" applyFill="1" applyBorder="1" applyAlignment="1">
      <alignment horizontal="center" vertical="center"/>
    </xf>
    <xf numFmtId="0" fontId="10" fillId="9" borderId="14" xfId="0" applyFont="1" applyFill="1" applyBorder="1">
      <alignment vertical="center"/>
    </xf>
    <xf numFmtId="0" fontId="14" fillId="2" borderId="0" xfId="0" applyFont="1" applyFill="1" applyAlignment="1">
      <alignment horizontal="center" vertical="center"/>
    </xf>
    <xf numFmtId="181" fontId="24" fillId="0" borderId="0" xfId="0" applyNumberFormat="1" applyFont="1" applyAlignment="1">
      <alignment horizontal="right" vertical="center" shrinkToFit="1"/>
    </xf>
    <xf numFmtId="0" fontId="23" fillId="2" borderId="0" xfId="0" applyFont="1" applyFill="1" applyAlignment="1">
      <alignment horizontal="center" vertical="center" wrapText="1"/>
    </xf>
    <xf numFmtId="0" fontId="26" fillId="0" borderId="0" xfId="0" applyFont="1" applyAlignment="1">
      <alignment vertical="center" shrinkToFit="1"/>
    </xf>
    <xf numFmtId="0" fontId="27" fillId="0" borderId="7" xfId="2" applyFont="1" applyBorder="1" applyAlignment="1">
      <alignment horizontal="center"/>
    </xf>
    <xf numFmtId="0" fontId="27" fillId="0" borderId="3" xfId="2" applyFont="1" applyBorder="1" applyAlignment="1">
      <alignment horizontal="center"/>
    </xf>
    <xf numFmtId="0" fontId="27" fillId="0" borderId="8" xfId="2" applyFont="1" applyBorder="1" applyAlignment="1">
      <alignment horizontal="center"/>
    </xf>
    <xf numFmtId="0" fontId="29" fillId="0" borderId="0" xfId="2" applyFont="1"/>
    <xf numFmtId="0" fontId="29" fillId="0" borderId="0" xfId="3" applyFont="1">
      <alignment vertical="center"/>
    </xf>
    <xf numFmtId="0" fontId="10" fillId="0" borderId="0" xfId="3" applyFont="1">
      <alignment vertical="center"/>
    </xf>
    <xf numFmtId="0" fontId="30" fillId="0" borderId="0" xfId="0" applyFont="1">
      <alignment vertical="center"/>
    </xf>
    <xf numFmtId="0" fontId="31" fillId="0" borderId="69" xfId="2" applyFont="1" applyBorder="1" applyAlignment="1">
      <alignment horizontal="center"/>
    </xf>
    <xf numFmtId="185" fontId="31" fillId="0" borderId="27" xfId="2" applyNumberFormat="1" applyFont="1" applyBorder="1" applyAlignment="1">
      <alignment horizontal="right"/>
    </xf>
    <xf numFmtId="185" fontId="31" fillId="0" borderId="3" xfId="0" applyNumberFormat="1" applyFont="1" applyBorder="1" applyAlignment="1">
      <alignment horizontal="right" vertical="center"/>
    </xf>
    <xf numFmtId="5" fontId="31" fillId="0" borderId="3" xfId="0" applyNumberFormat="1" applyFont="1" applyBorder="1" applyAlignment="1">
      <alignment horizontal="right" vertical="center"/>
    </xf>
    <xf numFmtId="181" fontId="31" fillId="0" borderId="10" xfId="0" applyNumberFormat="1" applyFont="1" applyBorder="1" applyAlignment="1">
      <alignment horizontal="right" vertical="center"/>
    </xf>
    <xf numFmtId="181" fontId="31" fillId="0" borderId="27" xfId="0" applyNumberFormat="1" applyFont="1" applyBorder="1" applyAlignment="1">
      <alignment horizontal="right" vertical="center"/>
    </xf>
    <xf numFmtId="181" fontId="31" fillId="0" borderId="73" xfId="0" applyNumberFormat="1" applyFont="1" applyBorder="1" applyAlignment="1">
      <alignment horizontal="right" vertical="center"/>
    </xf>
    <xf numFmtId="186" fontId="32" fillId="0" borderId="0" xfId="0" applyNumberFormat="1" applyFont="1" applyAlignment="1">
      <alignment horizontal="right" vertical="center" shrinkToFit="1"/>
    </xf>
    <xf numFmtId="0" fontId="31" fillId="0" borderId="0" xfId="0" applyFont="1">
      <alignment vertical="center"/>
    </xf>
    <xf numFmtId="0" fontId="31" fillId="0" borderId="3" xfId="0" applyFont="1" applyBorder="1">
      <alignment vertical="center"/>
    </xf>
    <xf numFmtId="0" fontId="31" fillId="0" borderId="27" xfId="0" applyFont="1" applyBorder="1" applyAlignment="1">
      <alignment horizontal="right" vertical="center" shrinkToFit="1"/>
    </xf>
    <xf numFmtId="185" fontId="31" fillId="0" borderId="7" xfId="0" applyNumberFormat="1" applyFont="1" applyBorder="1" applyAlignment="1">
      <alignment horizontal="right" vertical="center" shrinkToFit="1"/>
    </xf>
    <xf numFmtId="181" fontId="31" fillId="0" borderId="19" xfId="0" applyNumberFormat="1" applyFont="1" applyBorder="1" applyAlignment="1">
      <alignment horizontal="right" vertical="center" shrinkToFit="1"/>
    </xf>
    <xf numFmtId="185" fontId="31" fillId="0" borderId="27" xfId="0" applyNumberFormat="1" applyFont="1" applyBorder="1" applyAlignment="1">
      <alignment horizontal="right" vertical="center" shrinkToFit="1"/>
    </xf>
    <xf numFmtId="181" fontId="31" fillId="0" borderId="10" xfId="0" applyNumberFormat="1" applyFont="1" applyBorder="1" applyAlignment="1">
      <alignment horizontal="right" vertical="center" shrinkToFit="1"/>
    </xf>
    <xf numFmtId="181" fontId="31" fillId="0" borderId="8" xfId="0" applyNumberFormat="1" applyFont="1" applyBorder="1" applyAlignment="1">
      <alignment horizontal="right" vertical="center" shrinkToFit="1"/>
    </xf>
    <xf numFmtId="0" fontId="30" fillId="0" borderId="69" xfId="2" applyFont="1" applyBorder="1" applyAlignment="1">
      <alignment horizontal="center"/>
    </xf>
    <xf numFmtId="185" fontId="30" fillId="0" borderId="3" xfId="0" applyNumberFormat="1" applyFont="1" applyBorder="1" applyAlignment="1">
      <alignment horizontal="right" vertical="center"/>
    </xf>
    <xf numFmtId="181" fontId="30" fillId="0" borderId="27" xfId="0" applyNumberFormat="1" applyFont="1" applyBorder="1" applyAlignment="1">
      <alignment horizontal="right" vertical="center"/>
    </xf>
    <xf numFmtId="0" fontId="30" fillId="0" borderId="27" xfId="0" applyFont="1" applyBorder="1" applyAlignment="1">
      <alignment horizontal="right" vertical="center" shrinkToFit="1"/>
    </xf>
    <xf numFmtId="181" fontId="31" fillId="0" borderId="26" xfId="0" applyNumberFormat="1" applyFont="1" applyBorder="1" applyAlignment="1">
      <alignment horizontal="right" vertical="center"/>
    </xf>
    <xf numFmtId="181" fontId="31" fillId="0" borderId="74" xfId="0" applyNumberFormat="1" applyFont="1" applyBorder="1" applyAlignment="1">
      <alignment horizontal="right" vertical="center"/>
    </xf>
    <xf numFmtId="181" fontId="31" fillId="0" borderId="16" xfId="0" applyNumberFormat="1" applyFont="1" applyBorder="1" applyAlignment="1">
      <alignment horizontal="right" vertical="center" shrinkToFit="1"/>
    </xf>
    <xf numFmtId="185" fontId="31" fillId="0" borderId="26" xfId="0" applyNumberFormat="1" applyFont="1" applyBorder="1" applyAlignment="1">
      <alignment horizontal="right" vertical="center" shrinkToFit="1"/>
    </xf>
    <xf numFmtId="181" fontId="31" fillId="0" borderId="12" xfId="0" applyNumberFormat="1" applyFont="1" applyBorder="1" applyAlignment="1">
      <alignment horizontal="right" vertical="center" shrinkToFit="1"/>
    </xf>
    <xf numFmtId="181" fontId="31" fillId="0" borderId="58" xfId="0" applyNumberFormat="1" applyFont="1" applyBorder="1" applyAlignment="1">
      <alignment horizontal="right" vertical="center" shrinkToFit="1"/>
    </xf>
    <xf numFmtId="0" fontId="30" fillId="0" borderId="5" xfId="0" applyFont="1" applyBorder="1">
      <alignment vertical="center"/>
    </xf>
    <xf numFmtId="0" fontId="30" fillId="0" borderId="1" xfId="0" applyFont="1" applyBorder="1">
      <alignment vertical="center"/>
    </xf>
    <xf numFmtId="0" fontId="30" fillId="9" borderId="1" xfId="0" applyFont="1" applyFill="1" applyBorder="1">
      <alignment vertical="center"/>
    </xf>
    <xf numFmtId="5" fontId="30" fillId="3" borderId="27" xfId="0" applyNumberFormat="1" applyFont="1" applyFill="1" applyBorder="1" applyAlignment="1">
      <alignment horizontal="right" vertical="center"/>
    </xf>
    <xf numFmtId="0" fontId="31" fillId="0" borderId="55" xfId="0" applyFont="1" applyBorder="1" applyAlignment="1">
      <alignment horizontal="right" vertical="center" shrinkToFit="1"/>
    </xf>
    <xf numFmtId="185" fontId="31" fillId="0" borderId="59" xfId="0" applyNumberFormat="1" applyFont="1" applyBorder="1" applyAlignment="1">
      <alignment horizontal="right" vertical="center" shrinkToFit="1"/>
    </xf>
    <xf numFmtId="181" fontId="31" fillId="0" borderId="56" xfId="0" applyNumberFormat="1" applyFont="1" applyBorder="1" applyAlignment="1">
      <alignment horizontal="right" vertical="center" shrinkToFit="1"/>
    </xf>
    <xf numFmtId="185" fontId="31" fillId="0" borderId="55" xfId="0" applyNumberFormat="1" applyFont="1" applyBorder="1" applyAlignment="1">
      <alignment horizontal="right" vertical="center" shrinkToFit="1"/>
    </xf>
    <xf numFmtId="181" fontId="31" fillId="0" borderId="54" xfId="0" applyNumberFormat="1" applyFont="1" applyBorder="1" applyAlignment="1">
      <alignment horizontal="right" vertical="center" shrinkToFit="1"/>
    </xf>
    <xf numFmtId="181" fontId="31" fillId="0" borderId="60" xfId="0" applyNumberFormat="1" applyFont="1" applyBorder="1" applyAlignment="1">
      <alignment horizontal="right" vertical="center" shrinkToFit="1"/>
    </xf>
    <xf numFmtId="0" fontId="28" fillId="0" borderId="19" xfId="0" applyFont="1" applyBorder="1" applyAlignment="1">
      <alignment horizontal="right" vertical="center"/>
    </xf>
    <xf numFmtId="0" fontId="33" fillId="0" borderId="7" xfId="2" applyFont="1" applyBorder="1" applyAlignment="1">
      <alignment horizontal="center"/>
    </xf>
    <xf numFmtId="0" fontId="33" fillId="0" borderId="3" xfId="2" applyFont="1" applyBorder="1" applyAlignment="1">
      <alignment horizontal="center"/>
    </xf>
    <xf numFmtId="0" fontId="33" fillId="0" borderId="8" xfId="2" applyFont="1" applyBorder="1" applyAlignment="1">
      <alignment horizontal="center"/>
    </xf>
    <xf numFmtId="182" fontId="10" fillId="0" borderId="3" xfId="2" applyNumberFormat="1" applyFont="1" applyBorder="1"/>
    <xf numFmtId="0" fontId="27" fillId="0" borderId="42" xfId="2" applyFont="1" applyBorder="1" applyAlignment="1">
      <alignment horizontal="center"/>
    </xf>
    <xf numFmtId="0" fontId="27" fillId="0" borderId="20" xfId="2" applyFont="1" applyBorder="1" applyAlignment="1">
      <alignment horizontal="center"/>
    </xf>
    <xf numFmtId="0" fontId="27" fillId="0" borderId="60" xfId="2" applyFont="1" applyBorder="1" applyAlignment="1">
      <alignment horizontal="center"/>
    </xf>
    <xf numFmtId="0" fontId="26" fillId="0" borderId="75" xfId="0" applyFont="1" applyBorder="1" applyAlignment="1">
      <alignment vertical="center" shrinkToFit="1"/>
    </xf>
    <xf numFmtId="0" fontId="31" fillId="0" borderId="84" xfId="0" applyFont="1" applyBorder="1" applyAlignment="1">
      <alignment horizontal="right" vertical="center" shrinkToFit="1"/>
    </xf>
    <xf numFmtId="0" fontId="31" fillId="0" borderId="85" xfId="0" applyFont="1" applyBorder="1" applyAlignment="1">
      <alignment horizontal="right" vertical="center" shrinkToFit="1"/>
    </xf>
    <xf numFmtId="0" fontId="30" fillId="0" borderId="85" xfId="0" applyFont="1" applyBorder="1" applyAlignment="1">
      <alignment horizontal="right" vertical="center" shrinkToFit="1"/>
    </xf>
    <xf numFmtId="0" fontId="26" fillId="0" borderId="86" xfId="0" applyFont="1" applyBorder="1" applyAlignment="1">
      <alignment vertical="center" shrinkToFit="1"/>
    </xf>
    <xf numFmtId="0" fontId="34" fillId="0" borderId="0" xfId="7" applyFont="1" applyAlignment="1">
      <alignment horizontal="left" vertical="center"/>
    </xf>
    <xf numFmtId="0" fontId="34" fillId="0" borderId="0" xfId="7" applyFont="1">
      <alignment vertical="center"/>
    </xf>
    <xf numFmtId="0" fontId="36" fillId="0" borderId="0" xfId="7" applyFont="1">
      <alignment vertical="center"/>
    </xf>
    <xf numFmtId="0" fontId="8" fillId="0" borderId="0" xfId="7">
      <alignment vertical="center"/>
    </xf>
    <xf numFmtId="0" fontId="8" fillId="0" borderId="0" xfId="7" applyAlignment="1">
      <alignment horizontal="center" vertical="center"/>
    </xf>
    <xf numFmtId="0" fontId="36" fillId="0" borderId="0" xfId="7" quotePrefix="1" applyFont="1">
      <alignment vertical="center"/>
    </xf>
    <xf numFmtId="0" fontId="36" fillId="3" borderId="87" xfId="6" applyFont="1" applyFill="1" applyBorder="1" applyAlignment="1">
      <alignment horizontal="center" vertical="center"/>
    </xf>
    <xf numFmtId="187" fontId="37" fillId="10" borderId="88" xfId="6" applyNumberFormat="1" applyFont="1" applyFill="1" applyBorder="1" applyAlignment="1">
      <alignment horizontal="center" vertical="center"/>
    </xf>
    <xf numFmtId="0" fontId="36" fillId="3" borderId="88" xfId="7" applyFont="1" applyFill="1" applyBorder="1" applyAlignment="1">
      <alignment horizontal="center" vertical="center"/>
    </xf>
    <xf numFmtId="187" fontId="37" fillId="10" borderId="88" xfId="7" applyNumberFormat="1" applyFont="1" applyFill="1" applyBorder="1" applyAlignment="1">
      <alignment horizontal="center" vertical="center"/>
    </xf>
    <xf numFmtId="187" fontId="37" fillId="10" borderId="89" xfId="7" applyNumberFormat="1" applyFont="1" applyFill="1" applyBorder="1" applyAlignment="1">
      <alignment horizontal="center" vertical="center"/>
    </xf>
    <xf numFmtId="0" fontId="36" fillId="5" borderId="87" xfId="6" applyFont="1" applyFill="1" applyBorder="1" applyAlignment="1">
      <alignment horizontal="center" vertical="center"/>
    </xf>
    <xf numFmtId="0" fontId="36" fillId="5" borderId="88" xfId="7" applyFont="1" applyFill="1" applyBorder="1" applyAlignment="1">
      <alignment horizontal="center" vertical="center"/>
    </xf>
    <xf numFmtId="0" fontId="39" fillId="0" borderId="0" xfId="7" applyFont="1">
      <alignment vertical="center"/>
    </xf>
    <xf numFmtId="20" fontId="0" fillId="0" borderId="93" xfId="0" applyNumberFormat="1" applyBorder="1" applyAlignment="1">
      <alignment horizontal="center" vertical="center"/>
    </xf>
    <xf numFmtId="20" fontId="0" fillId="0" borderId="94" xfId="0" applyNumberFormat="1" applyBorder="1" applyAlignment="1">
      <alignment horizontal="center" vertical="center"/>
    </xf>
    <xf numFmtId="0" fontId="0" fillId="0" borderId="95" xfId="0" applyBorder="1" applyAlignment="1">
      <alignment horizontal="center" vertical="center"/>
    </xf>
    <xf numFmtId="20" fontId="0" fillId="0" borderId="96" xfId="0" applyNumberFormat="1" applyBorder="1" applyAlignment="1">
      <alignment horizontal="center" vertical="center"/>
    </xf>
    <xf numFmtId="20" fontId="0" fillId="0" borderId="97" xfId="0" applyNumberFormat="1" applyBorder="1" applyAlignment="1">
      <alignment horizontal="center" vertical="center"/>
    </xf>
    <xf numFmtId="0" fontId="0" fillId="0" borderId="98" xfId="0" applyBorder="1" applyAlignment="1">
      <alignment horizontal="center" vertical="center"/>
    </xf>
    <xf numFmtId="0" fontId="40" fillId="11" borderId="20" xfId="0" applyFont="1" applyFill="1" applyBorder="1" applyAlignment="1">
      <alignment horizontal="center" vertical="center"/>
    </xf>
    <xf numFmtId="0" fontId="40" fillId="11" borderId="3" xfId="0" applyFont="1" applyFill="1" applyBorder="1" applyAlignment="1">
      <alignment horizontal="center" vertical="center"/>
    </xf>
    <xf numFmtId="188" fontId="0" fillId="0" borderId="99" xfId="0" applyNumberFormat="1" applyBorder="1" applyAlignment="1">
      <alignment horizontal="center" vertical="center" wrapText="1"/>
    </xf>
    <xf numFmtId="188" fontId="0" fillId="0" borderId="20" xfId="0" applyNumberFormat="1" applyBorder="1" applyAlignment="1">
      <alignment horizontal="center" vertical="center" wrapText="1"/>
    </xf>
    <xf numFmtId="181" fontId="31" fillId="0" borderId="3" xfId="0" applyNumberFormat="1" applyFont="1" applyBorder="1" applyAlignment="1">
      <alignment horizontal="right" vertical="center"/>
    </xf>
    <xf numFmtId="181" fontId="31" fillId="0" borderId="11" xfId="0" applyNumberFormat="1" applyFont="1" applyBorder="1" applyAlignment="1">
      <alignment horizontal="right" vertical="center"/>
    </xf>
    <xf numFmtId="0" fontId="20" fillId="9" borderId="0" xfId="0" applyFont="1" applyFill="1" applyAlignment="1">
      <alignment horizontal="center" vertical="center" wrapText="1"/>
    </xf>
    <xf numFmtId="5" fontId="30" fillId="12" borderId="3" xfId="0" applyNumberFormat="1" applyFont="1" applyFill="1" applyBorder="1" applyAlignment="1">
      <alignment horizontal="right" vertical="center"/>
    </xf>
    <xf numFmtId="5" fontId="30" fillId="5" borderId="4" xfId="0" applyNumberFormat="1" applyFont="1" applyFill="1" applyBorder="1" applyAlignment="1">
      <alignment horizontal="right" vertical="center"/>
    </xf>
    <xf numFmtId="0" fontId="27" fillId="0" borderId="105" xfId="2" applyFont="1" applyBorder="1" applyAlignment="1">
      <alignment horizontal="center"/>
    </xf>
    <xf numFmtId="0" fontId="27" fillId="0" borderId="106" xfId="2" applyFont="1" applyBorder="1" applyAlignment="1">
      <alignment horizontal="center"/>
    </xf>
    <xf numFmtId="0" fontId="27" fillId="0" borderId="107" xfId="2" applyFont="1" applyBorder="1" applyAlignment="1">
      <alignment horizontal="center"/>
    </xf>
    <xf numFmtId="0" fontId="27" fillId="0" borderId="104" xfId="2" applyFont="1" applyBorder="1" applyAlignment="1">
      <alignment horizontal="center"/>
    </xf>
    <xf numFmtId="0" fontId="33" fillId="0" borderId="46" xfId="2" applyFont="1" applyBorder="1" applyAlignment="1">
      <alignment horizontal="center"/>
    </xf>
    <xf numFmtId="0" fontId="33" fillId="0" borderId="108" xfId="2" applyFont="1" applyBorder="1" applyAlignment="1">
      <alignment horizontal="center"/>
    </xf>
    <xf numFmtId="0" fontId="33" fillId="0" borderId="109" xfId="2" applyFont="1" applyBorder="1" applyAlignment="1">
      <alignment horizontal="center"/>
    </xf>
    <xf numFmtId="185" fontId="17" fillId="5" borderId="110" xfId="0" applyNumberFormat="1" applyFont="1" applyFill="1" applyBorder="1" applyAlignment="1">
      <alignment horizontal="right" vertical="center" shrinkToFit="1"/>
    </xf>
    <xf numFmtId="181" fontId="17" fillId="5" borderId="111" xfId="0" applyNumberFormat="1" applyFont="1" applyFill="1" applyBorder="1" applyAlignment="1">
      <alignment horizontal="right" vertical="center" shrinkToFit="1"/>
    </xf>
    <xf numFmtId="185" fontId="17" fillId="12" borderId="110" xfId="0" applyNumberFormat="1" applyFont="1" applyFill="1" applyBorder="1" applyAlignment="1">
      <alignment horizontal="right" vertical="center" shrinkToFit="1"/>
    </xf>
    <xf numFmtId="181" fontId="17" fillId="12" borderId="109" xfId="0" applyNumberFormat="1" applyFont="1" applyFill="1" applyBorder="1" applyAlignment="1">
      <alignment horizontal="right" vertical="center" shrinkToFit="1"/>
    </xf>
    <xf numFmtId="181" fontId="17" fillId="3" borderId="110" xfId="0" applyNumberFormat="1" applyFont="1" applyFill="1" applyBorder="1" applyAlignment="1">
      <alignment horizontal="right" vertical="center"/>
    </xf>
    <xf numFmtId="181" fontId="17" fillId="5" borderId="108" xfId="0" applyNumberFormat="1" applyFont="1" applyFill="1" applyBorder="1" applyAlignment="1">
      <alignment horizontal="right" vertical="center"/>
    </xf>
    <xf numFmtId="181" fontId="17" fillId="12" borderId="51" xfId="0" applyNumberFormat="1" applyFont="1" applyFill="1" applyBorder="1" applyAlignment="1">
      <alignment horizontal="right" vertical="center"/>
    </xf>
    <xf numFmtId="185" fontId="17" fillId="3" borderId="110" xfId="0" applyNumberFormat="1" applyFont="1" applyFill="1" applyBorder="1" applyAlignment="1">
      <alignment horizontal="right" vertical="center" shrinkToFit="1"/>
    </xf>
    <xf numFmtId="181" fontId="17" fillId="3" borderId="111" xfId="0" applyNumberFormat="1" applyFont="1" applyFill="1" applyBorder="1" applyAlignment="1">
      <alignment horizontal="right" vertical="center" shrinkToFit="1"/>
    </xf>
    <xf numFmtId="0" fontId="36" fillId="12" borderId="87" xfId="6" applyFont="1" applyFill="1" applyBorder="1" applyAlignment="1">
      <alignment horizontal="center" vertical="center"/>
    </xf>
    <xf numFmtId="0" fontId="36" fillId="12" borderId="88" xfId="7" applyFont="1" applyFill="1" applyBorder="1" applyAlignment="1">
      <alignment horizontal="center" vertical="center"/>
    </xf>
    <xf numFmtId="0" fontId="10" fillId="6" borderId="64" xfId="0" applyFont="1" applyFill="1" applyBorder="1" applyAlignment="1">
      <alignment horizontal="center" vertical="center" wrapText="1" shrinkToFit="1"/>
    </xf>
    <xf numFmtId="0" fontId="10" fillId="6" borderId="71" xfId="0" applyFont="1" applyFill="1" applyBorder="1" applyAlignment="1">
      <alignment horizontal="center" vertical="center" wrapText="1" shrinkToFit="1"/>
    </xf>
    <xf numFmtId="0" fontId="10" fillId="6" borderId="72" xfId="0" applyFont="1" applyFill="1" applyBorder="1" applyAlignment="1">
      <alignment horizontal="center" vertical="center" wrapText="1" shrinkToFit="1"/>
    </xf>
    <xf numFmtId="0" fontId="10" fillId="6" borderId="100" xfId="0" applyFont="1" applyFill="1" applyBorder="1" applyAlignment="1">
      <alignment horizontal="center" vertical="center" wrapText="1" shrinkToFit="1"/>
    </xf>
    <xf numFmtId="0" fontId="10" fillId="6" borderId="68" xfId="0" applyFont="1" applyFill="1" applyBorder="1" applyAlignment="1">
      <alignment horizontal="center" vertical="center" wrapText="1" shrinkToFit="1"/>
    </xf>
    <xf numFmtId="0" fontId="10" fillId="2" borderId="63" xfId="0" applyFont="1" applyFill="1" applyBorder="1" applyAlignment="1">
      <alignment horizontal="center" vertical="center"/>
    </xf>
    <xf numFmtId="185" fontId="31" fillId="0" borderId="103" xfId="0" applyNumberFormat="1" applyFont="1" applyBorder="1" applyAlignment="1">
      <alignment horizontal="right" vertical="center" shrinkToFit="1"/>
    </xf>
    <xf numFmtId="181" fontId="31" fillId="0" borderId="113" xfId="0" applyNumberFormat="1" applyFont="1" applyBorder="1" applyAlignment="1">
      <alignment horizontal="right" vertical="center" shrinkToFit="1"/>
    </xf>
    <xf numFmtId="185" fontId="31" fillId="0" borderId="4" xfId="0" applyNumberFormat="1" applyFont="1" applyBorder="1" applyAlignment="1">
      <alignment horizontal="right" vertical="center" shrinkToFit="1"/>
    </xf>
    <xf numFmtId="0" fontId="31" fillId="0" borderId="118" xfId="0" applyFont="1" applyBorder="1" applyAlignment="1">
      <alignment horizontal="right" vertical="center" shrinkToFit="1"/>
    </xf>
    <xf numFmtId="0" fontId="31" fillId="0" borderId="119" xfId="0" applyFont="1" applyBorder="1" applyAlignment="1">
      <alignment horizontal="right" vertical="center" shrinkToFit="1"/>
    </xf>
    <xf numFmtId="0" fontId="30" fillId="0" borderId="119" xfId="0" applyFont="1" applyBorder="1" applyAlignment="1">
      <alignment horizontal="right" vertical="center" shrinkToFit="1"/>
    </xf>
    <xf numFmtId="0" fontId="26" fillId="0" borderId="120" xfId="0" applyFont="1" applyBorder="1" applyAlignment="1">
      <alignment vertical="center" shrinkToFit="1"/>
    </xf>
    <xf numFmtId="0" fontId="31" fillId="0" borderId="121" xfId="0" applyFont="1" applyBorder="1" applyAlignment="1">
      <alignment horizontal="right" vertical="center" shrinkToFit="1"/>
    </xf>
    <xf numFmtId="0" fontId="10" fillId="2" borderId="100" xfId="0" applyFont="1" applyFill="1" applyBorder="1" applyAlignment="1">
      <alignment horizontal="center" vertical="center"/>
    </xf>
    <xf numFmtId="0" fontId="31" fillId="0" borderId="9" xfId="2" applyFont="1" applyBorder="1" applyAlignment="1">
      <alignment horizontal="center"/>
    </xf>
    <xf numFmtId="0" fontId="30" fillId="0" borderId="9" xfId="2" applyFont="1" applyBorder="1" applyAlignment="1">
      <alignment horizontal="center"/>
    </xf>
    <xf numFmtId="0" fontId="31" fillId="0" borderId="122" xfId="2" applyFont="1" applyBorder="1" applyAlignment="1">
      <alignment horizontal="center"/>
    </xf>
    <xf numFmtId="185" fontId="31" fillId="0" borderId="125" xfId="0" applyNumberFormat="1" applyFont="1" applyBorder="1" applyAlignment="1">
      <alignment horizontal="right" vertical="center" shrinkToFit="1"/>
    </xf>
    <xf numFmtId="185" fontId="17" fillId="3" borderId="46" xfId="0" applyNumberFormat="1" applyFont="1" applyFill="1" applyBorder="1" applyAlignment="1">
      <alignment horizontal="right" vertical="center" shrinkToFit="1"/>
    </xf>
    <xf numFmtId="0" fontId="10" fillId="9" borderId="126" xfId="0" applyFont="1" applyFill="1" applyBorder="1" applyAlignment="1">
      <alignment horizontal="center" vertical="center"/>
    </xf>
    <xf numFmtId="0" fontId="31" fillId="0" borderId="79" xfId="2" applyFont="1" applyBorder="1" applyAlignment="1">
      <alignment horizontal="center" shrinkToFit="1"/>
    </xf>
    <xf numFmtId="0" fontId="31" fillId="0" borderId="127" xfId="2" applyFont="1" applyBorder="1" applyAlignment="1">
      <alignment horizontal="center" shrinkToFit="1"/>
    </xf>
    <xf numFmtId="0" fontId="30" fillId="0" borderId="127" xfId="2" applyFont="1" applyBorder="1" applyAlignment="1">
      <alignment horizontal="center" shrinkToFit="1"/>
    </xf>
    <xf numFmtId="0" fontId="14" fillId="0" borderId="128" xfId="2" applyFont="1" applyBorder="1" applyAlignment="1">
      <alignment horizontal="center" shrinkToFit="1"/>
    </xf>
    <xf numFmtId="0" fontId="31" fillId="0" borderId="129" xfId="0" applyFont="1" applyBorder="1" applyAlignment="1">
      <alignment horizontal="right" vertical="center" shrinkToFit="1"/>
    </xf>
    <xf numFmtId="0" fontId="31" fillId="0" borderId="69" xfId="0" applyFont="1" applyBorder="1" applyAlignment="1">
      <alignment horizontal="right" vertical="center" shrinkToFit="1"/>
    </xf>
    <xf numFmtId="0" fontId="30" fillId="0" borderId="69" xfId="0" applyFont="1" applyBorder="1" applyAlignment="1">
      <alignment horizontal="right" vertical="center" shrinkToFit="1"/>
    </xf>
    <xf numFmtId="0" fontId="26" fillId="0" borderId="70" xfId="0" applyFont="1" applyBorder="1" applyAlignment="1">
      <alignment vertical="center" shrinkToFit="1"/>
    </xf>
    <xf numFmtId="0" fontId="10" fillId="6" borderId="126" xfId="0" applyFont="1" applyFill="1" applyBorder="1" applyAlignment="1">
      <alignment horizontal="center" vertical="center" wrapText="1"/>
    </xf>
    <xf numFmtId="0" fontId="10" fillId="6" borderId="117" xfId="0" applyFont="1" applyFill="1" applyBorder="1" applyAlignment="1">
      <alignment horizontal="center" vertical="center" wrapText="1"/>
    </xf>
    <xf numFmtId="0" fontId="10" fillId="6" borderId="64" xfId="0" applyFont="1" applyFill="1" applyBorder="1" applyAlignment="1">
      <alignment horizontal="center" vertical="center" wrapText="1"/>
    </xf>
    <xf numFmtId="0" fontId="10" fillId="6" borderId="83" xfId="0" applyFont="1" applyFill="1" applyBorder="1" applyAlignment="1">
      <alignment horizontal="center" vertical="center" wrapText="1"/>
    </xf>
    <xf numFmtId="0" fontId="10" fillId="2" borderId="30" xfId="0" applyFont="1" applyFill="1" applyBorder="1" applyAlignment="1">
      <alignment horizontal="center" vertical="center"/>
    </xf>
    <xf numFmtId="0" fontId="10" fillId="2" borderId="34" xfId="0" applyFont="1" applyFill="1" applyBorder="1" applyAlignment="1">
      <alignment horizontal="center" vertical="center"/>
    </xf>
    <xf numFmtId="0" fontId="10" fillId="6" borderId="49" xfId="0" applyFont="1" applyFill="1" applyBorder="1" applyAlignment="1">
      <alignment horizontal="center" vertical="center"/>
    </xf>
    <xf numFmtId="0" fontId="10" fillId="6" borderId="1" xfId="0" applyFont="1" applyFill="1" applyBorder="1" applyAlignment="1">
      <alignment horizontal="center" vertical="center"/>
    </xf>
    <xf numFmtId="0" fontId="10" fillId="6" borderId="115" xfId="0" applyFont="1" applyFill="1" applyBorder="1" applyAlignment="1">
      <alignment horizontal="center" vertical="center"/>
    </xf>
    <xf numFmtId="0" fontId="10" fillId="6" borderId="50" xfId="0" applyFont="1" applyFill="1" applyBorder="1" applyAlignment="1">
      <alignment horizontal="center" vertical="center"/>
    </xf>
    <xf numFmtId="0" fontId="10" fillId="6" borderId="116" xfId="0" applyFont="1" applyFill="1" applyBorder="1" applyAlignment="1">
      <alignment horizontal="center" vertical="center"/>
    </xf>
    <xf numFmtId="0" fontId="10" fillId="6" borderId="80" xfId="0" applyFont="1" applyFill="1" applyBorder="1" applyAlignment="1">
      <alignment horizontal="center" vertical="center"/>
    </xf>
    <xf numFmtId="0" fontId="25" fillId="0" borderId="0" xfId="0" applyFont="1" applyAlignment="1">
      <alignment horizontal="center" vertical="center"/>
    </xf>
    <xf numFmtId="0" fontId="28" fillId="9" borderId="6" xfId="0" applyFont="1" applyFill="1" applyBorder="1" applyAlignment="1">
      <alignment horizontal="center" vertical="center"/>
    </xf>
    <xf numFmtId="0" fontId="10" fillId="6" borderId="123" xfId="0" applyFont="1" applyFill="1" applyBorder="1" applyAlignment="1">
      <alignment horizontal="center" vertical="center" wrapText="1"/>
    </xf>
    <xf numFmtId="0" fontId="10" fillId="6" borderId="61" xfId="0" applyFont="1" applyFill="1" applyBorder="1" applyAlignment="1">
      <alignment horizontal="center" vertical="center" wrapText="1"/>
    </xf>
    <xf numFmtId="0" fontId="10" fillId="6" borderId="124" xfId="0" applyFont="1" applyFill="1" applyBorder="1" applyAlignment="1">
      <alignment horizontal="center" vertical="center" wrapText="1"/>
    </xf>
    <xf numFmtId="0" fontId="10" fillId="6" borderId="81" xfId="0" applyFont="1" applyFill="1" applyBorder="1" applyAlignment="1">
      <alignment horizontal="center" vertical="center" wrapText="1"/>
    </xf>
    <xf numFmtId="0" fontId="10" fillId="6" borderId="53" xfId="0" applyFont="1" applyFill="1" applyBorder="1" applyAlignment="1">
      <alignment horizontal="center" vertical="center" wrapText="1"/>
    </xf>
    <xf numFmtId="0" fontId="10" fillId="6" borderId="82" xfId="0" applyFont="1" applyFill="1" applyBorder="1" applyAlignment="1">
      <alignment horizontal="center" vertical="center" wrapText="1"/>
    </xf>
    <xf numFmtId="0" fontId="10" fillId="6" borderId="57" xfId="0" applyFont="1" applyFill="1" applyBorder="1" applyAlignment="1">
      <alignment horizontal="center" vertical="center" wrapText="1"/>
    </xf>
    <xf numFmtId="0" fontId="10" fillId="6" borderId="51" xfId="0" applyFont="1" applyFill="1" applyBorder="1" applyAlignment="1">
      <alignment horizontal="center" vertical="center" wrapText="1"/>
    </xf>
    <xf numFmtId="176" fontId="11" fillId="0" borderId="0" xfId="1" applyNumberFormat="1" applyFont="1" applyBorder="1" applyAlignment="1">
      <alignment horizontal="right" vertical="center"/>
    </xf>
    <xf numFmtId="181" fontId="26" fillId="3" borderId="47" xfId="2" applyNumberFormat="1" applyFont="1" applyFill="1" applyBorder="1" applyAlignment="1">
      <alignment horizontal="center" vertical="center" shrinkToFit="1"/>
    </xf>
    <xf numFmtId="181" fontId="26" fillId="3" borderId="48" xfId="2" applyNumberFormat="1" applyFont="1" applyFill="1" applyBorder="1" applyAlignment="1">
      <alignment horizontal="center" vertical="center" shrinkToFit="1"/>
    </xf>
    <xf numFmtId="181" fontId="14" fillId="5" borderId="101" xfId="0" applyNumberFormat="1" applyFont="1" applyFill="1" applyBorder="1" applyAlignment="1">
      <alignment horizontal="center" vertical="center" shrinkToFit="1"/>
    </xf>
    <xf numFmtId="181" fontId="14" fillId="5" borderId="102" xfId="0" applyNumberFormat="1" applyFont="1" applyFill="1" applyBorder="1" applyAlignment="1">
      <alignment horizontal="center" vertical="center" shrinkToFit="1"/>
    </xf>
    <xf numFmtId="0" fontId="10" fillId="2" borderId="42" xfId="0" applyFont="1" applyFill="1" applyBorder="1" applyAlignment="1">
      <alignment horizontal="center" vertical="center" wrapText="1" shrinkToFit="1"/>
    </xf>
    <xf numFmtId="0" fontId="10" fillId="2" borderId="45" xfId="0" applyFont="1" applyFill="1" applyBorder="1" applyAlignment="1">
      <alignment horizontal="center" vertical="center" shrinkToFit="1"/>
    </xf>
    <xf numFmtId="0" fontId="10" fillId="2" borderId="43" xfId="0" applyFont="1" applyFill="1" applyBorder="1" applyAlignment="1">
      <alignment horizontal="center" vertical="center" shrinkToFit="1"/>
    </xf>
    <xf numFmtId="0" fontId="10" fillId="2" borderId="44" xfId="0" applyFont="1" applyFill="1" applyBorder="1" applyAlignment="1">
      <alignment horizontal="center" vertical="center" shrinkToFit="1"/>
    </xf>
    <xf numFmtId="0" fontId="10" fillId="2" borderId="16" xfId="0" applyFont="1" applyFill="1" applyBorder="1" applyAlignment="1">
      <alignment horizontal="center" vertical="center" shrinkToFit="1"/>
    </xf>
    <xf numFmtId="0" fontId="10" fillId="2" borderId="13" xfId="0" applyFont="1" applyFill="1" applyBorder="1" applyAlignment="1">
      <alignment horizontal="center" vertical="center" shrinkToFit="1"/>
    </xf>
    <xf numFmtId="0" fontId="10" fillId="2" borderId="43" xfId="0" applyFont="1" applyFill="1" applyBorder="1" applyAlignment="1">
      <alignment horizontal="center" vertical="center"/>
    </xf>
    <xf numFmtId="0" fontId="10" fillId="2" borderId="130" xfId="0" applyFont="1" applyFill="1" applyBorder="1" applyAlignment="1">
      <alignment horizontal="center" vertical="center"/>
    </xf>
    <xf numFmtId="181" fontId="14" fillId="12" borderId="101" xfId="0" applyNumberFormat="1" applyFont="1" applyFill="1" applyBorder="1" applyAlignment="1">
      <alignment horizontal="center" vertical="center"/>
    </xf>
    <xf numFmtId="0" fontId="14" fillId="12" borderId="76" xfId="0" applyFont="1" applyFill="1" applyBorder="1" applyAlignment="1">
      <alignment horizontal="center" vertical="center"/>
    </xf>
    <xf numFmtId="0" fontId="10" fillId="6" borderId="78" xfId="0" applyFont="1" applyFill="1" applyBorder="1" applyAlignment="1">
      <alignment horizontal="center" vertical="center"/>
    </xf>
    <xf numFmtId="0" fontId="10" fillId="6" borderId="114" xfId="0" applyFont="1" applyFill="1" applyBorder="1" applyAlignment="1">
      <alignment horizontal="center" vertical="center"/>
    </xf>
    <xf numFmtId="0" fontId="10" fillId="6" borderId="79" xfId="0" applyFont="1" applyFill="1" applyBorder="1" applyAlignment="1">
      <alignment horizontal="center" vertical="center"/>
    </xf>
    <xf numFmtId="0" fontId="10" fillId="6" borderId="17" xfId="0" applyFont="1" applyFill="1" applyBorder="1" applyAlignment="1">
      <alignment horizontal="center" vertical="center"/>
    </xf>
    <xf numFmtId="181" fontId="14" fillId="0" borderId="128" xfId="0" applyNumberFormat="1" applyFont="1" applyBorder="1" applyAlignment="1">
      <alignment horizontal="center" vertical="center"/>
    </xf>
    <xf numFmtId="181" fontId="14" fillId="0" borderId="112" xfId="0" applyNumberFormat="1" applyFont="1" applyBorder="1" applyAlignment="1">
      <alignment horizontal="center" vertical="center"/>
    </xf>
    <xf numFmtId="0" fontId="10" fillId="2" borderId="78" xfId="0" applyFont="1" applyFill="1" applyBorder="1" applyAlignment="1">
      <alignment horizontal="center" vertical="center"/>
    </xf>
    <xf numFmtId="0" fontId="10" fillId="2" borderId="50" xfId="0" applyFont="1" applyFill="1" applyBorder="1" applyAlignment="1">
      <alignment horizontal="center" vertical="center"/>
    </xf>
    <xf numFmtId="0" fontId="10" fillId="2" borderId="131" xfId="0" applyFont="1" applyFill="1" applyBorder="1" applyAlignment="1">
      <alignment horizontal="center" vertical="center"/>
    </xf>
    <xf numFmtId="0" fontId="10" fillId="2" borderId="52" xfId="0" applyFont="1" applyFill="1" applyBorder="1" applyAlignment="1">
      <alignment horizontal="center" vertical="center"/>
    </xf>
    <xf numFmtId="0" fontId="10" fillId="7" borderId="1" xfId="0" applyFont="1" applyFill="1" applyBorder="1" applyAlignment="1">
      <alignment horizontal="center" vertical="center"/>
    </xf>
    <xf numFmtId="0" fontId="20" fillId="7" borderId="1" xfId="0" applyFont="1" applyFill="1" applyBorder="1" applyAlignment="1">
      <alignment horizontal="center" vertical="center" wrapText="1"/>
    </xf>
    <xf numFmtId="0" fontId="20" fillId="7" borderId="1" xfId="0" applyFont="1" applyFill="1" applyBorder="1" applyAlignment="1">
      <alignment horizontal="center" vertical="center"/>
    </xf>
    <xf numFmtId="0" fontId="19" fillId="7" borderId="1" xfId="0" applyFont="1" applyFill="1" applyBorder="1" applyAlignment="1">
      <alignment horizontal="center" vertical="center"/>
    </xf>
    <xf numFmtId="0" fontId="10" fillId="2" borderId="28" xfId="0" applyFont="1" applyFill="1" applyBorder="1" applyAlignment="1">
      <alignment horizontal="center" vertical="center" shrinkToFit="1"/>
    </xf>
    <xf numFmtId="0" fontId="10" fillId="2" borderId="33" xfId="0" applyFont="1" applyFill="1" applyBorder="1" applyAlignment="1">
      <alignment horizontal="center" vertical="center" shrinkToFit="1"/>
    </xf>
    <xf numFmtId="0" fontId="10" fillId="2" borderId="31" xfId="0" applyFont="1" applyFill="1" applyBorder="1" applyAlignment="1">
      <alignment horizontal="center" vertical="center" shrinkToFit="1"/>
    </xf>
    <xf numFmtId="0" fontId="10" fillId="2" borderId="29" xfId="0" applyFont="1" applyFill="1" applyBorder="1" applyAlignment="1">
      <alignment horizontal="center" vertical="center" shrinkToFit="1"/>
    </xf>
    <xf numFmtId="0" fontId="10" fillId="2" borderId="32" xfId="0" applyFont="1" applyFill="1" applyBorder="1" applyAlignment="1">
      <alignment horizontal="center" vertical="center"/>
    </xf>
    <xf numFmtId="0" fontId="10" fillId="2" borderId="3" xfId="0" applyFont="1" applyFill="1" applyBorder="1" applyAlignment="1">
      <alignment horizontal="center" vertical="center" shrinkToFit="1"/>
    </xf>
    <xf numFmtId="0" fontId="15" fillId="0" borderId="33" xfId="2" applyFont="1" applyBorder="1" applyAlignment="1">
      <alignment horizontal="center" vertical="center" shrinkToFit="1"/>
    </xf>
    <xf numFmtId="0" fontId="15" fillId="0" borderId="35" xfId="2" applyFont="1" applyBorder="1" applyAlignment="1">
      <alignment horizontal="center" vertical="center" shrinkToFit="1"/>
    </xf>
    <xf numFmtId="181" fontId="13" fillId="5" borderId="37" xfId="0" applyNumberFormat="1" applyFont="1" applyFill="1" applyBorder="1" applyAlignment="1">
      <alignment horizontal="center" vertical="center" shrinkToFit="1"/>
    </xf>
    <xf numFmtId="181" fontId="13" fillId="5" borderId="38" xfId="0" applyNumberFormat="1" applyFont="1" applyFill="1" applyBorder="1" applyAlignment="1">
      <alignment horizontal="center" vertical="center" shrinkToFit="1"/>
    </xf>
    <xf numFmtId="181" fontId="10" fillId="0" borderId="34" xfId="0" applyNumberFormat="1" applyFont="1" applyBorder="1" applyAlignment="1">
      <alignment horizontal="center" vertical="center"/>
    </xf>
    <xf numFmtId="181" fontId="10" fillId="0" borderId="36" xfId="0" applyNumberFormat="1" applyFont="1" applyBorder="1" applyAlignment="1">
      <alignment horizontal="center" vertical="center"/>
    </xf>
    <xf numFmtId="181" fontId="17" fillId="0" borderId="38" xfId="2" applyNumberFormat="1" applyFont="1" applyBorder="1" applyAlignment="1">
      <alignment horizontal="center" shrinkToFit="1"/>
    </xf>
    <xf numFmtId="0" fontId="15" fillId="0" borderId="0" xfId="2" applyFont="1" applyAlignment="1">
      <alignment shrinkToFit="1"/>
    </xf>
    <xf numFmtId="0" fontId="38" fillId="11" borderId="91" xfId="0" applyFont="1" applyFill="1" applyBorder="1" applyAlignment="1">
      <alignment horizontal="center" vertical="center"/>
    </xf>
    <xf numFmtId="0" fontId="38" fillId="11" borderId="18" xfId="0" applyFont="1" applyFill="1" applyBorder="1" applyAlignment="1">
      <alignment horizontal="center" vertical="center"/>
    </xf>
    <xf numFmtId="0" fontId="38" fillId="11" borderId="92" xfId="0" applyFont="1" applyFill="1" applyBorder="1" applyAlignment="1">
      <alignment horizontal="center" vertical="center"/>
    </xf>
    <xf numFmtId="0" fontId="38" fillId="11" borderId="5" xfId="0" applyFont="1" applyFill="1" applyBorder="1" applyAlignment="1">
      <alignment horizontal="center" vertical="center"/>
    </xf>
    <xf numFmtId="0" fontId="38" fillId="11" borderId="1" xfId="0" applyFont="1" applyFill="1" applyBorder="1" applyAlignment="1">
      <alignment horizontal="center" vertical="center"/>
    </xf>
    <xf numFmtId="0" fontId="38" fillId="11" borderId="2" xfId="0" applyFont="1" applyFill="1" applyBorder="1" applyAlignment="1">
      <alignment horizontal="center" vertical="center"/>
    </xf>
    <xf numFmtId="0" fontId="38" fillId="11" borderId="90" xfId="0" applyFont="1" applyFill="1" applyBorder="1" applyAlignment="1">
      <alignment horizontal="center" vertical="center"/>
    </xf>
    <xf numFmtId="0" fontId="38" fillId="11" borderId="20" xfId="0" applyFont="1" applyFill="1" applyBorder="1" applyAlignment="1">
      <alignment horizontal="center" vertical="center"/>
    </xf>
    <xf numFmtId="0" fontId="0" fillId="0" borderId="90" xfId="0" applyBorder="1" applyAlignment="1">
      <alignment horizontal="center" vertical="center"/>
    </xf>
    <xf numFmtId="0" fontId="0" fillId="0" borderId="20" xfId="0" applyBorder="1" applyAlignment="1">
      <alignment horizontal="center" vertical="center"/>
    </xf>
    <xf numFmtId="14" fontId="0" fillId="0" borderId="90" xfId="0" applyNumberFormat="1" applyBorder="1" applyAlignment="1">
      <alignment horizontal="center" vertical="center"/>
    </xf>
    <xf numFmtId="14" fontId="0" fillId="0" borderId="20" xfId="0" applyNumberFormat="1" applyBorder="1" applyAlignment="1">
      <alignment horizontal="center" vertical="center"/>
    </xf>
    <xf numFmtId="20" fontId="0" fillId="0" borderId="91" xfId="0" applyNumberFormat="1" applyBorder="1" applyAlignment="1">
      <alignment horizontal="center" vertical="center"/>
    </xf>
    <xf numFmtId="20" fontId="0" fillId="0" borderId="5" xfId="0" applyNumberFormat="1" applyBorder="1" applyAlignment="1">
      <alignment horizontal="center" vertical="center"/>
    </xf>
    <xf numFmtId="188" fontId="0" fillId="0" borderId="90" xfId="0" applyNumberFormat="1" applyBorder="1" applyAlignment="1">
      <alignment horizontal="center" vertical="center"/>
    </xf>
    <xf numFmtId="188" fontId="0" fillId="0" borderId="20" xfId="0" applyNumberFormat="1" applyBorder="1" applyAlignment="1">
      <alignment horizontal="center" vertical="center"/>
    </xf>
    <xf numFmtId="0" fontId="38" fillId="11" borderId="3" xfId="0" applyFont="1" applyFill="1" applyBorder="1" applyAlignment="1">
      <alignment horizontal="center" vertical="center"/>
    </xf>
    <xf numFmtId="0" fontId="38" fillId="11" borderId="19" xfId="0" applyFont="1" applyFill="1" applyBorder="1" applyAlignment="1">
      <alignment horizontal="center" vertical="center"/>
    </xf>
    <xf numFmtId="0" fontId="38" fillId="11" borderId="4" xfId="0" applyFont="1" applyFill="1" applyBorder="1" applyAlignment="1">
      <alignment horizontal="center" vertical="center"/>
    </xf>
    <xf numFmtId="0" fontId="40" fillId="11" borderId="19" xfId="0" applyFont="1" applyFill="1" applyBorder="1" applyAlignment="1">
      <alignment horizontal="center" vertical="center"/>
    </xf>
    <xf numFmtId="0" fontId="40" fillId="11" borderId="4" xfId="0" applyFont="1" applyFill="1" applyBorder="1" applyAlignment="1">
      <alignment horizontal="center" vertical="center"/>
    </xf>
    <xf numFmtId="14" fontId="0" fillId="0" borderId="18" xfId="0" applyNumberFormat="1" applyBorder="1" applyAlignment="1">
      <alignment horizontal="center" vertical="center"/>
    </xf>
    <xf numFmtId="14" fontId="0" fillId="0" borderId="1" xfId="0" applyNumberFormat="1" applyBorder="1" applyAlignment="1">
      <alignment horizontal="center" vertical="center"/>
    </xf>
    <xf numFmtId="20" fontId="0" fillId="0" borderId="92" xfId="0" applyNumberFormat="1" applyBorder="1" applyAlignment="1">
      <alignment horizontal="center" vertical="center"/>
    </xf>
    <xf numFmtId="20" fontId="0" fillId="0" borderId="2" xfId="0" applyNumberFormat="1" applyBorder="1" applyAlignment="1">
      <alignment horizontal="center" vertical="center"/>
    </xf>
    <xf numFmtId="20" fontId="0" fillId="0" borderId="94" xfId="0" applyNumberFormat="1" applyBorder="1" applyAlignment="1">
      <alignment horizontal="center" vertical="center"/>
    </xf>
    <xf numFmtId="20" fontId="0" fillId="0" borderId="97" xfId="0" applyNumberFormat="1" applyBorder="1" applyAlignment="1">
      <alignment horizontal="center" vertical="center"/>
    </xf>
    <xf numFmtId="0" fontId="41" fillId="0" borderId="90" xfId="0" applyFont="1" applyBorder="1" applyAlignment="1">
      <alignment horizontal="center" vertical="center"/>
    </xf>
    <xf numFmtId="0" fontId="41" fillId="0" borderId="20" xfId="0" applyFont="1" applyBorder="1" applyAlignment="1">
      <alignment horizontal="center" vertical="center"/>
    </xf>
    <xf numFmtId="14" fontId="42" fillId="0" borderId="90" xfId="0" applyNumberFormat="1" applyFont="1" applyBorder="1" applyAlignment="1">
      <alignment horizontal="center" vertical="center"/>
    </xf>
    <xf numFmtId="14" fontId="42" fillId="0" borderId="20" xfId="0" applyNumberFormat="1" applyFont="1" applyBorder="1" applyAlignment="1">
      <alignment horizontal="center" vertical="center"/>
    </xf>
    <xf numFmtId="0" fontId="0" fillId="0" borderId="90" xfId="0" applyBorder="1" applyAlignment="1">
      <alignment horizontal="left" vertical="center"/>
    </xf>
    <xf numFmtId="0" fontId="0" fillId="0" borderId="20" xfId="0" applyBorder="1" applyAlignment="1">
      <alignment horizontal="left" vertical="center"/>
    </xf>
    <xf numFmtId="0" fontId="0" fillId="0" borderId="90" xfId="0" applyBorder="1" applyAlignment="1">
      <alignment horizontal="center" vertical="center" wrapText="1"/>
    </xf>
    <xf numFmtId="0" fontId="0" fillId="0" borderId="20" xfId="0" applyBorder="1" applyAlignment="1">
      <alignment horizontal="center" vertical="center" wrapText="1"/>
    </xf>
    <xf numFmtId="0" fontId="0" fillId="0" borderId="90" xfId="0" applyBorder="1" applyAlignment="1">
      <alignment horizontal="left" vertical="center" wrapText="1"/>
    </xf>
  </cellXfs>
  <cellStyles count="8">
    <cellStyle name="標準" xfId="0" builtinId="0"/>
    <cellStyle name="標準 2" xfId="1"/>
    <cellStyle name="標準 2 2" xfId="7"/>
    <cellStyle name="標準 3" xfId="4"/>
    <cellStyle name="標準 4" xfId="2"/>
    <cellStyle name="標準 5 4" xfId="6"/>
    <cellStyle name="標準 8 2" xfId="5"/>
    <cellStyle name="標準 9" xfId="3"/>
  </cellStyles>
  <dxfs count="30">
    <dxf>
      <fill>
        <patternFill>
          <bgColor rgb="FFFFFFEB"/>
        </patternFill>
      </fill>
    </dxf>
    <dxf>
      <fill>
        <patternFill>
          <bgColor rgb="FFFFFFEB"/>
        </patternFill>
      </fill>
    </dxf>
    <dxf>
      <fill>
        <patternFill>
          <bgColor rgb="FFFFFFEB"/>
        </patternFill>
      </fill>
    </dxf>
    <dxf>
      <fill>
        <patternFill>
          <bgColor rgb="FFFFFFEB"/>
        </patternFill>
      </fill>
    </dxf>
    <dxf>
      <fill>
        <patternFill>
          <bgColor rgb="FFFFFFEB"/>
        </patternFill>
      </fill>
    </dxf>
    <dxf>
      <fill>
        <patternFill>
          <bgColor rgb="FFFFFFEB"/>
        </patternFill>
      </fill>
    </dxf>
    <dxf>
      <fill>
        <patternFill>
          <bgColor rgb="FFFFFFEB"/>
        </patternFill>
      </fill>
    </dxf>
    <dxf>
      <fill>
        <patternFill>
          <bgColor rgb="FFFFFFEB"/>
        </patternFill>
      </fill>
    </dxf>
    <dxf>
      <fill>
        <patternFill>
          <bgColor rgb="FFFFFFEB"/>
        </patternFill>
      </fill>
    </dxf>
    <dxf>
      <fill>
        <patternFill>
          <bgColor rgb="FFFFFFEB"/>
        </patternFill>
      </fill>
    </dxf>
    <dxf>
      <fill>
        <patternFill>
          <bgColor rgb="FFFFFFEB"/>
        </patternFill>
      </fill>
    </dxf>
    <dxf>
      <fill>
        <patternFill>
          <bgColor rgb="FFFFFFEB"/>
        </patternFill>
      </fill>
    </dxf>
    <dxf>
      <fill>
        <patternFill>
          <bgColor rgb="FFFFFFEB"/>
        </patternFill>
      </fill>
    </dxf>
    <dxf>
      <fill>
        <patternFill>
          <bgColor rgb="FFFFFFEB"/>
        </patternFill>
      </fill>
    </dxf>
    <dxf>
      <fill>
        <patternFill>
          <bgColor rgb="FFFFFFEB"/>
        </patternFill>
      </fill>
    </dxf>
    <dxf>
      <fill>
        <patternFill>
          <bgColor rgb="FFFFFFEB"/>
        </patternFill>
      </fill>
    </dxf>
    <dxf>
      <font>
        <color auto="1"/>
      </font>
      <fill>
        <patternFill>
          <bgColor rgb="FFFF0000"/>
        </patternFill>
      </fill>
    </dxf>
    <dxf>
      <fill>
        <patternFill>
          <bgColor rgb="FFFFFFEB"/>
        </patternFill>
      </fill>
    </dxf>
    <dxf>
      <fill>
        <patternFill>
          <bgColor rgb="FFFFFFEB"/>
        </patternFill>
      </fill>
    </dxf>
    <dxf>
      <fill>
        <patternFill>
          <bgColor rgb="FFFFFFEB"/>
        </patternFill>
      </fill>
    </dxf>
    <dxf>
      <fill>
        <patternFill>
          <bgColor rgb="FFFFFFEB"/>
        </patternFill>
      </fill>
    </dxf>
    <dxf>
      <fill>
        <patternFill>
          <bgColor rgb="FFFFFFEB"/>
        </patternFill>
      </fill>
    </dxf>
    <dxf>
      <fill>
        <patternFill>
          <bgColor rgb="FFFFFFEB"/>
        </patternFill>
      </fill>
    </dxf>
    <dxf>
      <fill>
        <patternFill>
          <bgColor rgb="FFFFFFEB"/>
        </patternFill>
      </fill>
    </dxf>
    <dxf>
      <fill>
        <patternFill>
          <bgColor rgb="FFFFFFEB"/>
        </patternFill>
      </fill>
    </dxf>
    <dxf>
      <fill>
        <patternFill>
          <bgColor rgb="FFFFFFEB"/>
        </patternFill>
      </fill>
    </dxf>
    <dxf>
      <fill>
        <patternFill>
          <bgColor rgb="FFFFFFEB"/>
        </patternFill>
      </fill>
    </dxf>
    <dxf>
      <fill>
        <patternFill>
          <bgColor rgb="FFFFFFEB"/>
        </patternFill>
      </fill>
    </dxf>
    <dxf>
      <fill>
        <patternFill>
          <bgColor rgb="FFFFFFEB"/>
        </patternFill>
      </fill>
    </dxf>
    <dxf>
      <font>
        <strike val="0"/>
        <color rgb="FFFF0000"/>
      </font>
    </dxf>
  </dxfs>
  <tableStyles count="0" defaultTableStyle="TableStyleMedium2" defaultPivotStyle="PivotStyleLight16"/>
  <colors>
    <mruColors>
      <color rgb="FFCCFFCC"/>
      <color rgb="FFCCFFFF"/>
      <color rgb="FFFFFFCC"/>
      <color rgb="FFFFFFD9"/>
      <color rgb="FF0000FF"/>
      <color rgb="FFFFCCFF"/>
      <color rgb="FFFFFFEB"/>
      <color rgb="FFFFFFF0"/>
      <color rgb="FFFFFFF5"/>
      <color rgb="FFFFCC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drawings/_rels/drawing3.x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xdr:from>
      <xdr:col>27</xdr:col>
      <xdr:colOff>236043</xdr:colOff>
      <xdr:row>1</xdr:row>
      <xdr:rowOff>195445</xdr:rowOff>
    </xdr:from>
    <xdr:to>
      <xdr:col>33</xdr:col>
      <xdr:colOff>663469</xdr:colOff>
      <xdr:row>9</xdr:row>
      <xdr:rowOff>49258</xdr:rowOff>
    </xdr:to>
    <xdr:sp macro="" textlink="">
      <xdr:nvSpPr>
        <xdr:cNvPr id="2" name="テキスト ボックス 1">
          <a:extLst>
            <a:ext uri="{FF2B5EF4-FFF2-40B4-BE49-F238E27FC236}">
              <a16:creationId xmlns:a16="http://schemas.microsoft.com/office/drawing/2014/main" id="{00000000-0008-0000-0000-000002000000}"/>
            </a:ext>
          </a:extLst>
        </xdr:cNvPr>
        <xdr:cNvSpPr txBox="1"/>
      </xdr:nvSpPr>
      <xdr:spPr>
        <a:xfrm>
          <a:off x="20034436" y="290695"/>
          <a:ext cx="4563997" cy="1282563"/>
        </a:xfrm>
        <a:prstGeom prst="rect">
          <a:avLst/>
        </a:prstGeom>
        <a:solidFill>
          <a:srgbClr val="FFCCFF"/>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1200"/>
            <a:t>【</a:t>
          </a:r>
          <a:r>
            <a:rPr kumimoji="1" lang="ja-JP" altLang="en-US" sz="1200"/>
            <a:t>使い方</a:t>
          </a:r>
          <a:r>
            <a:rPr kumimoji="1" lang="en-US" altLang="ja-JP" sz="1200"/>
            <a:t>】</a:t>
          </a:r>
        </a:p>
        <a:p>
          <a:r>
            <a:rPr kumimoji="1" lang="ja-JP" altLang="en-US" sz="1200"/>
            <a:t>・マクロを有効にする</a:t>
          </a:r>
          <a:endParaRPr kumimoji="1" lang="en-US" altLang="ja-JP" sz="1200"/>
        </a:p>
        <a:p>
          <a:r>
            <a:rPr kumimoji="1" lang="ja-JP" altLang="en-US" sz="1200"/>
            <a:t>・「作業時間」に各グループ毎の時間を入力する</a:t>
          </a:r>
          <a:endParaRPr kumimoji="1" lang="en-US" altLang="ja-JP" sz="1200"/>
        </a:p>
        <a:p>
          <a:r>
            <a:rPr kumimoji="1" lang="ja-JP" altLang="en-US" sz="1200"/>
            <a:t>・メニュー「表示」→「マクロ」→「マクロの表示」→「金額振分」を実行</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8</xdr:col>
      <xdr:colOff>514350</xdr:colOff>
      <xdr:row>3</xdr:row>
      <xdr:rowOff>161925</xdr:rowOff>
    </xdr:from>
    <xdr:to>
      <xdr:col>13</xdr:col>
      <xdr:colOff>200025</xdr:colOff>
      <xdr:row>12</xdr:row>
      <xdr:rowOff>9525</xdr:rowOff>
    </xdr:to>
    <xdr:sp macro="" textlink="">
      <xdr:nvSpPr>
        <xdr:cNvPr id="2" name="テキスト ボックス 1">
          <a:extLst>
            <a:ext uri="{FF2B5EF4-FFF2-40B4-BE49-F238E27FC236}">
              <a16:creationId xmlns:a16="http://schemas.microsoft.com/office/drawing/2014/main" id="{00000000-0008-0000-0100-000002000000}"/>
            </a:ext>
          </a:extLst>
        </xdr:cNvPr>
        <xdr:cNvSpPr txBox="1"/>
      </xdr:nvSpPr>
      <xdr:spPr>
        <a:xfrm>
          <a:off x="8210550" y="714375"/>
          <a:ext cx="3609975" cy="14287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100"/>
            <a:t>標準工数</a:t>
          </a:r>
          <a:r>
            <a:rPr kumimoji="1" lang="en-US" altLang="ja-JP" sz="1100"/>
            <a:t>÷</a:t>
          </a:r>
          <a:r>
            <a:rPr kumimoji="1" lang="ja-JP" altLang="en-US" sz="1100"/>
            <a:t>２の範囲内 →</a:t>
          </a:r>
          <a:r>
            <a:rPr kumimoji="1" lang="en-US" altLang="ja-JP" sz="1100"/>
            <a:t> 50</a:t>
          </a:r>
          <a:r>
            <a:rPr kumimoji="1" lang="ja-JP" altLang="en-US" sz="1100"/>
            <a:t>％</a:t>
          </a:r>
          <a:endParaRPr kumimoji="1" lang="en-US" altLang="ja-JP" sz="1100"/>
        </a:p>
        <a:p>
          <a:r>
            <a:rPr kumimoji="1" lang="ja-JP" altLang="en-US" sz="1100"/>
            <a:t>いずれかが上記を超過 → 超過分に応じて調整</a:t>
          </a:r>
          <a:endParaRPr kumimoji="1" lang="en-US" altLang="ja-JP" sz="1100"/>
        </a:p>
        <a:p>
          <a:endParaRPr kumimoji="1" lang="ja-JP" altLang="en-US"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446313</xdr:colOff>
      <xdr:row>9</xdr:row>
      <xdr:rowOff>97972</xdr:rowOff>
    </xdr:from>
    <xdr:to>
      <xdr:col>17</xdr:col>
      <xdr:colOff>740228</xdr:colOff>
      <xdr:row>16</xdr:row>
      <xdr:rowOff>108858</xdr:rowOff>
    </xdr:to>
    <xdr:sp macro="" textlink="">
      <xdr:nvSpPr>
        <xdr:cNvPr id="4" name="正方形/長方形 3">
          <a:extLst>
            <a:ext uri="{FF2B5EF4-FFF2-40B4-BE49-F238E27FC236}">
              <a16:creationId xmlns:a16="http://schemas.microsoft.com/office/drawing/2014/main" id="{00000000-0008-0000-0300-000004000000}"/>
            </a:ext>
          </a:extLst>
        </xdr:cNvPr>
        <xdr:cNvSpPr/>
      </xdr:nvSpPr>
      <xdr:spPr>
        <a:xfrm>
          <a:off x="446313" y="2460172"/>
          <a:ext cx="10014858" cy="4125686"/>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en-US" altLang="ja-JP" sz="2000" b="1"/>
            <a:t>4</a:t>
          </a:r>
          <a:r>
            <a:rPr kumimoji="1" lang="ja-JP" altLang="en-US" sz="2000" b="1"/>
            <a:t>月出張なし</a:t>
          </a:r>
          <a:endParaRPr kumimoji="1" lang="en-US" altLang="ja-JP" sz="2000" b="1"/>
        </a:p>
        <a:p>
          <a:pPr algn="l"/>
          <a:r>
            <a:rPr kumimoji="1" lang="en-US" altLang="ja-JP" sz="2000" b="1"/>
            <a:t>※</a:t>
          </a:r>
          <a:r>
            <a:rPr kumimoji="1" lang="ja-JP" altLang="en-US" sz="2000" b="1"/>
            <a:t>３部体制に修正したシートなので温存しました。</a:t>
          </a:r>
          <a:endParaRPr kumimoji="1" lang="en-US" altLang="ja-JP" sz="2000" b="1"/>
        </a:p>
        <a:p>
          <a:pPr algn="l"/>
          <a:r>
            <a:rPr kumimoji="1" lang="ja-JP" altLang="en-US" sz="2000" b="1"/>
            <a:t>次月以降出張ない場合は削除します。</a:t>
          </a:r>
          <a:endParaRPr kumimoji="1" lang="en-US" altLang="ja-JP" sz="2000" b="1"/>
        </a:p>
        <a:p>
          <a:pPr algn="l"/>
          <a:endParaRPr kumimoji="1" lang="en-US" altLang="ja-JP" sz="2000" b="1"/>
        </a:p>
        <a:p>
          <a:pPr algn="l"/>
          <a:endParaRPr kumimoji="1" lang="en-US" altLang="ja-JP" sz="2000" b="1"/>
        </a:p>
      </xdr:txBody>
    </xdr:sp>
    <xdr:clientData/>
  </xdr:twoCellAnchor>
  <mc:AlternateContent xmlns:mc="http://schemas.openxmlformats.org/markup-compatibility/2006">
    <mc:Choice xmlns:a14="http://schemas.microsoft.com/office/drawing/2010/main" Requires="a14">
      <xdr:twoCellAnchor editAs="oneCell">
        <xdr:from>
          <xdr:col>2</xdr:col>
          <xdr:colOff>740229</xdr:colOff>
          <xdr:row>4</xdr:row>
          <xdr:rowOff>65314</xdr:rowOff>
        </xdr:from>
        <xdr:to>
          <xdr:col>19</xdr:col>
          <xdr:colOff>381000</xdr:colOff>
          <xdr:row>6</xdr:row>
          <xdr:rowOff>392014</xdr:rowOff>
        </xdr:to>
        <xdr:pic>
          <xdr:nvPicPr>
            <xdr:cNvPr id="63" name="図 62">
              <a:extLst>
                <a:ext uri="{FF2B5EF4-FFF2-40B4-BE49-F238E27FC236}">
                  <a16:creationId xmlns:a16="http://schemas.microsoft.com/office/drawing/2014/main" id="{00000000-0008-0000-0300-00003F000000}"/>
                </a:ext>
              </a:extLst>
            </xdr:cNvPr>
            <xdr:cNvPicPr>
              <a:picLocks noChangeAspect="1" noChangeArrowheads="1"/>
              <a:extLst>
                <a:ext uri="{84589F7E-364E-4C9E-8A38-B11213B215E9}">
                  <a14:cameraTool cellRange="$W$6:$AP$8" spid="_x0000_s33901"/>
                </a:ext>
              </a:extLst>
            </xdr:cNvPicPr>
          </xdr:nvPicPr>
          <xdr:blipFill>
            <a:blip xmlns:r="http://schemas.openxmlformats.org/officeDocument/2006/relationships" r:embed="rId1"/>
            <a:srcRect/>
            <a:stretch>
              <a:fillRect/>
            </a:stretch>
          </xdr:blipFill>
          <xdr:spPr bwMode="auto">
            <a:xfrm>
              <a:off x="1981200" y="805543"/>
              <a:ext cx="11669486" cy="892757"/>
            </a:xfrm>
            <a:prstGeom prst="rect">
              <a:avLst/>
            </a:prstGeom>
            <a:noFill/>
            <a:extLst>
              <a:ext uri="{909E8E84-426E-40DD-AFC4-6F175D3DCCD1}">
                <a14:hiddenFill>
                  <a:solidFill>
                    <a:srgbClr val="FFFFFF"/>
                  </a:solidFill>
                </a14:hiddenFill>
              </a:ext>
            </a:extLst>
          </xdr:spPr>
        </xdr:pic>
        <xdr:clientData/>
      </xdr:twoCellAnchor>
    </mc:Choice>
    <mc:Fallback/>
  </mc:AlternateContent>
  <xdr:twoCellAnchor editAs="oneCell">
    <xdr:from>
      <xdr:col>5</xdr:col>
      <xdr:colOff>95250</xdr:colOff>
      <xdr:row>3</xdr:row>
      <xdr:rowOff>114300</xdr:rowOff>
    </xdr:from>
    <xdr:to>
      <xdr:col>18</xdr:col>
      <xdr:colOff>69850</xdr:colOff>
      <xdr:row>6</xdr:row>
      <xdr:rowOff>317500</xdr:rowOff>
    </xdr:to>
    <xdr:sp macro="" textlink="">
      <xdr:nvSpPr>
        <xdr:cNvPr id="33831" name="AutoShape 39">
          <a:extLst>
            <a:ext uri="{FF2B5EF4-FFF2-40B4-BE49-F238E27FC236}">
              <a16:creationId xmlns:a16="http://schemas.microsoft.com/office/drawing/2014/main" id="{00000000-0008-0000-0300-000027840000}"/>
            </a:ext>
          </a:extLst>
        </xdr:cNvPr>
        <xdr:cNvSpPr>
          <a:spLocks noChangeAspect="1" noChangeArrowheads="1"/>
        </xdr:cNvSpPr>
      </xdr:nvSpPr>
      <xdr:spPr bwMode="auto">
        <a:xfrm>
          <a:off x="3689350" y="692150"/>
          <a:ext cx="8870950" cy="9271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A1:AV47"/>
  <sheetViews>
    <sheetView tabSelected="1" view="pageBreakPreview" zoomScaleNormal="100" zoomScaleSheetLayoutView="100" workbookViewId="0">
      <selection activeCell="B1" sqref="B1"/>
    </sheetView>
  </sheetViews>
  <sheetFormatPr defaultColWidth="9" defaultRowHeight="15"/>
  <cols>
    <col min="1" max="1" width="1.33203125" style="1" customWidth="1"/>
    <col min="2" max="2" width="13" style="1" customWidth="1"/>
    <col min="3" max="6" width="13.6640625" style="1" customWidth="1"/>
    <col min="7" max="7" width="19.109375" style="1" customWidth="1"/>
    <col min="8" max="10" width="15.109375" style="1" customWidth="1"/>
    <col min="11" max="11" width="13.109375" style="1" customWidth="1"/>
    <col min="12" max="12" width="13.88671875" style="1" customWidth="1"/>
    <col min="13" max="14" width="13.109375" style="1" customWidth="1"/>
    <col min="15" max="17" width="13.88671875" style="1" customWidth="1"/>
    <col min="18" max="28" width="10.6640625" style="1" customWidth="1"/>
    <col min="29" max="29" width="1.6640625" style="1" customWidth="1"/>
    <col min="30" max="30" width="2.6640625" style="1" customWidth="1"/>
    <col min="31" max="31" width="14" style="1" customWidth="1"/>
    <col min="32" max="33" width="12.6640625" style="1" customWidth="1"/>
    <col min="34" max="16384" width="9" style="1"/>
  </cols>
  <sheetData>
    <row r="1" spans="1:48" ht="8.1" customHeight="1"/>
    <row r="2" spans="1:48" ht="21" customHeight="1">
      <c r="B2" s="292">
        <v>45383</v>
      </c>
      <c r="C2" s="292"/>
      <c r="D2" s="292"/>
      <c r="E2" s="2" t="s">
        <v>98</v>
      </c>
      <c r="H2" s="2"/>
      <c r="I2" s="2"/>
      <c r="K2" s="282" t="s">
        <v>109</v>
      </c>
      <c r="L2" s="282"/>
      <c r="M2" s="282"/>
      <c r="N2" s="282"/>
      <c r="O2" s="282"/>
      <c r="P2" s="282"/>
      <c r="Q2" s="282"/>
      <c r="R2" s="282"/>
      <c r="S2" s="282"/>
      <c r="T2" s="282"/>
      <c r="U2" s="282"/>
      <c r="V2" s="282"/>
      <c r="W2" s="282"/>
      <c r="X2" s="282"/>
      <c r="Y2" s="282"/>
      <c r="Z2" s="282"/>
      <c r="AA2" s="282"/>
    </row>
    <row r="3" spans="1:48" ht="5.0999999999999996" customHeight="1" thickBot="1">
      <c r="K3" s="282"/>
      <c r="L3" s="282"/>
      <c r="M3" s="282"/>
      <c r="N3" s="282"/>
      <c r="O3" s="282"/>
      <c r="P3" s="282"/>
      <c r="Q3" s="282"/>
      <c r="R3" s="282"/>
      <c r="S3" s="282"/>
      <c r="T3" s="282"/>
      <c r="U3" s="282"/>
      <c r="V3" s="282"/>
      <c r="W3" s="282"/>
      <c r="X3" s="282"/>
      <c r="Y3" s="282"/>
      <c r="Z3" s="282"/>
      <c r="AA3" s="282"/>
    </row>
    <row r="4" spans="1:48" ht="15.6" customHeight="1" thickTop="1">
      <c r="B4" s="297" t="s">
        <v>100</v>
      </c>
      <c r="C4" s="299" t="s">
        <v>164</v>
      </c>
      <c r="D4" s="300"/>
      <c r="E4" s="299" t="s">
        <v>77</v>
      </c>
      <c r="F4" s="300"/>
      <c r="G4" s="303" t="s">
        <v>163</v>
      </c>
      <c r="H4" s="304"/>
      <c r="I4" s="313" t="s">
        <v>162</v>
      </c>
      <c r="J4" s="314"/>
      <c r="AK4" s="55"/>
      <c r="AL4" s="55"/>
      <c r="AM4" s="55"/>
      <c r="AN4" s="55"/>
      <c r="AO4" s="55"/>
      <c r="AP4" s="55"/>
      <c r="AQ4" s="55"/>
      <c r="AR4" s="55"/>
      <c r="AS4" s="55"/>
      <c r="AT4" s="55"/>
      <c r="AU4" s="39" t="s">
        <v>77</v>
      </c>
      <c r="AV4" s="274" t="s">
        <v>70</v>
      </c>
    </row>
    <row r="5" spans="1:48" ht="15.6" customHeight="1" thickBot="1">
      <c r="B5" s="298"/>
      <c r="C5" s="301" t="s">
        <v>190</v>
      </c>
      <c r="D5" s="302"/>
      <c r="E5" s="301" t="s">
        <v>189</v>
      </c>
      <c r="F5" s="302"/>
      <c r="G5" s="301" t="s">
        <v>188</v>
      </c>
      <c r="H5" s="302"/>
      <c r="I5" s="315"/>
      <c r="J5" s="316"/>
      <c r="AU5" s="42" t="s">
        <v>79</v>
      </c>
      <c r="AV5" s="275"/>
    </row>
    <row r="6" spans="1:48" ht="19.8" thickTop="1" thickBot="1">
      <c r="B6" s="118" t="s">
        <v>35</v>
      </c>
      <c r="C6" s="293">
        <f>SUM(H42,H46)</f>
        <v>2800000</v>
      </c>
      <c r="D6" s="294"/>
      <c r="E6" s="295">
        <f>SUM(I42,I46)</f>
        <v>24307975</v>
      </c>
      <c r="F6" s="296"/>
      <c r="G6" s="305">
        <f>SUM(J42,J46)</f>
        <v>2100000</v>
      </c>
      <c r="H6" s="306"/>
      <c r="I6" s="311">
        <f>SUM(C6,E6,G6)</f>
        <v>29207975</v>
      </c>
      <c r="J6" s="312"/>
      <c r="AU6" s="119">
        <f>SUM(AV42,AV46)</f>
        <v>0</v>
      </c>
      <c r="AV6" s="117">
        <f>SUM(C6,D6,AU6)</f>
        <v>2800000</v>
      </c>
    </row>
    <row r="7" spans="1:48" ht="8.1" customHeight="1" thickBot="1">
      <c r="A7" s="23"/>
      <c r="B7" s="24"/>
      <c r="C7" s="24"/>
      <c r="D7" s="24"/>
      <c r="E7" s="24"/>
      <c r="F7" s="24"/>
      <c r="H7" s="23"/>
      <c r="I7" s="23"/>
      <c r="J7" s="23"/>
    </row>
    <row r="8" spans="1:48" ht="8.1" customHeight="1">
      <c r="A8" s="25"/>
      <c r="B8" s="26"/>
      <c r="C8" s="26"/>
      <c r="D8" s="26"/>
      <c r="E8" s="26"/>
      <c r="F8" s="26"/>
      <c r="H8" s="25"/>
      <c r="I8" s="25"/>
      <c r="J8" s="25"/>
      <c r="R8" s="307" t="s">
        <v>164</v>
      </c>
      <c r="S8" s="276"/>
      <c r="T8" s="276"/>
      <c r="U8" s="308"/>
      <c r="V8" s="276" t="s">
        <v>77</v>
      </c>
      <c r="W8" s="276"/>
      <c r="X8" s="276"/>
      <c r="Y8" s="276"/>
      <c r="Z8" s="278" t="s">
        <v>163</v>
      </c>
      <c r="AA8" s="279"/>
    </row>
    <row r="9" spans="1:48" ht="18" customHeight="1">
      <c r="B9" s="1" t="s">
        <v>25</v>
      </c>
      <c r="C9" s="115">
        <v>20</v>
      </c>
      <c r="I9" s="5"/>
      <c r="R9" s="309"/>
      <c r="S9" s="277"/>
      <c r="T9" s="277"/>
      <c r="U9" s="310"/>
      <c r="V9" s="277"/>
      <c r="W9" s="277"/>
      <c r="X9" s="277"/>
      <c r="Y9" s="277"/>
      <c r="Z9" s="280"/>
      <c r="AA9" s="281"/>
    </row>
    <row r="10" spans="1:48" ht="18" customHeight="1">
      <c r="B10" s="1" t="s">
        <v>26</v>
      </c>
      <c r="C10" s="3">
        <f>C9*8-30</f>
        <v>130</v>
      </c>
      <c r="D10" s="4" t="s">
        <v>24</v>
      </c>
      <c r="E10" s="3">
        <f>C9*8+30</f>
        <v>190</v>
      </c>
      <c r="F10" s="4"/>
      <c r="G10" s="3"/>
      <c r="H10" s="3"/>
      <c r="I10" s="3"/>
      <c r="R10" s="284" t="s">
        <v>182</v>
      </c>
      <c r="S10" s="285"/>
      <c r="T10" s="288" t="s">
        <v>183</v>
      </c>
      <c r="U10" s="285"/>
      <c r="V10" s="288" t="s">
        <v>184</v>
      </c>
      <c r="W10" s="285"/>
      <c r="X10" s="288" t="s">
        <v>185</v>
      </c>
      <c r="Y10" s="285"/>
      <c r="Z10" s="288" t="s">
        <v>186</v>
      </c>
      <c r="AA10" s="290"/>
      <c r="AB10" s="134"/>
    </row>
    <row r="11" spans="1:48" ht="18" customHeight="1" thickBot="1">
      <c r="B11" s="114" t="s">
        <v>99</v>
      </c>
      <c r="L11" s="283" t="str">
        <f>R8</f>
        <v>ソフトウェア技術部</v>
      </c>
      <c r="M11" s="283"/>
      <c r="N11" s="283" t="str">
        <f>V8</f>
        <v>ソフトウェア基盤技術部</v>
      </c>
      <c r="O11" s="283"/>
      <c r="P11" s="220" t="str">
        <f>Z8</f>
        <v>ソフトウェア戦略推進部</v>
      </c>
      <c r="R11" s="286"/>
      <c r="S11" s="287"/>
      <c r="T11" s="289"/>
      <c r="U11" s="287"/>
      <c r="V11" s="289"/>
      <c r="W11" s="287"/>
      <c r="X11" s="289"/>
      <c r="Y11" s="287"/>
      <c r="Z11" s="289"/>
      <c r="AA11" s="291"/>
      <c r="AB11" s="116"/>
    </row>
    <row r="12" spans="1:48" ht="45.6" thickBot="1">
      <c r="B12" s="120" t="s">
        <v>21</v>
      </c>
      <c r="C12" s="123" t="s">
        <v>22</v>
      </c>
      <c r="D12" s="126" t="s">
        <v>23</v>
      </c>
      <c r="E12" s="126" t="s">
        <v>19</v>
      </c>
      <c r="F12" s="124" t="s">
        <v>20</v>
      </c>
      <c r="G12" s="132" t="s">
        <v>29</v>
      </c>
      <c r="H12" s="241" t="str">
        <f>C4</f>
        <v>ソフトウェア技術部</v>
      </c>
      <c r="I12" s="242" t="str">
        <f>E4</f>
        <v>ソフトウェア基盤技術部</v>
      </c>
      <c r="J12" s="243" t="str">
        <f>G4</f>
        <v>ソフトウェア戦略推進部</v>
      </c>
      <c r="K12" s="261" t="s">
        <v>103</v>
      </c>
      <c r="L12" s="270" t="str">
        <f>R10</f>
        <v>第1ソフトウェア開発室
- 第1G</v>
      </c>
      <c r="M12" s="271" t="str">
        <f>T10</f>
        <v>第1ソフトウェア開発室
- 第2G</v>
      </c>
      <c r="N12" s="272" t="str">
        <f>V10</f>
        <v>第1ソフトウェア
基盤開発室 - 第3G</v>
      </c>
      <c r="O12" s="272" t="str">
        <f>X10</f>
        <v>第2ソフトウェア
基盤開発室 - 第3G</v>
      </c>
      <c r="P12" s="273" t="str">
        <f>Z10</f>
        <v>ソフトウェア開発革新室
- 第2G</v>
      </c>
      <c r="Q12" s="255" t="s">
        <v>21</v>
      </c>
      <c r="R12" s="121" t="s">
        <v>95</v>
      </c>
      <c r="S12" s="124" t="s">
        <v>96</v>
      </c>
      <c r="T12" s="246" t="s">
        <v>95</v>
      </c>
      <c r="U12" s="122" t="s">
        <v>96</v>
      </c>
      <c r="V12" s="123" t="s">
        <v>95</v>
      </c>
      <c r="W12" s="124" t="s">
        <v>96</v>
      </c>
      <c r="X12" s="123" t="s">
        <v>95</v>
      </c>
      <c r="Y12" s="124" t="s">
        <v>96</v>
      </c>
      <c r="Z12" s="123" t="s">
        <v>95</v>
      </c>
      <c r="AA12" s="125" t="s">
        <v>96</v>
      </c>
      <c r="AB12" s="136" t="s">
        <v>97</v>
      </c>
      <c r="AE12" s="9" t="s">
        <v>31</v>
      </c>
    </row>
    <row r="13" spans="1:48" s="144" customFormat="1" ht="14.25" customHeight="1" thickTop="1">
      <c r="A13" s="181"/>
      <c r="B13" s="145" t="s">
        <v>168</v>
      </c>
      <c r="C13" s="146">
        <f>SUM(R13,T13,V13,X13,Z13)</f>
        <v>154.5</v>
      </c>
      <c r="D13" s="147">
        <f>IF(C13&lt;=$C$10*K13,C13-$C$10*K13,IF($E$10*K13&lt;C13,C13-$E$10*K13,0))</f>
        <v>0</v>
      </c>
      <c r="E13" s="148">
        <f>VLOOKUP(B13,要員対応表!$B$4:$Y$51,9,FALSE)*K13</f>
        <v>600000</v>
      </c>
      <c r="F13" s="149">
        <f>IF(D13&gt;0,ROUND(D13*VLOOKUP(B13,要員対応表!$B$4:$Y$51,11,FALSE),0),ROUND(D13*VLOOKUP(B13,要員対応表!$B$4:$Y$51,10,FALSE),0))</f>
        <v>0</v>
      </c>
      <c r="G13" s="150">
        <f>E13+F13</f>
        <v>600000</v>
      </c>
      <c r="H13" s="150">
        <f>SUM(S13,U13)</f>
        <v>0</v>
      </c>
      <c r="I13" s="218">
        <f>SUM(W13,Y13)</f>
        <v>600000</v>
      </c>
      <c r="J13" s="151">
        <f>AA13</f>
        <v>0</v>
      </c>
      <c r="K13" s="262">
        <v>1</v>
      </c>
      <c r="L13" s="266"/>
      <c r="M13" s="254"/>
      <c r="N13" s="250">
        <v>1</v>
      </c>
      <c r="O13" s="175"/>
      <c r="P13" s="190"/>
      <c r="Q13" s="256" t="s">
        <v>168</v>
      </c>
      <c r="R13" s="176"/>
      <c r="S13" s="248"/>
      <c r="T13" s="247"/>
      <c r="U13" s="177"/>
      <c r="V13" s="178">
        <v>154.5</v>
      </c>
      <c r="W13" s="179">
        <v>600000</v>
      </c>
      <c r="X13" s="178"/>
      <c r="Y13" s="179"/>
      <c r="Z13" s="178"/>
      <c r="AA13" s="180"/>
      <c r="AB13" s="152">
        <f>G13-SUM(S13,U13,W13,Y13,AA13)</f>
        <v>0</v>
      </c>
      <c r="AD13" s="153"/>
      <c r="AE13" s="154" t="str">
        <f>VLOOKUP(B13,要員対応表!$B$4:$D$106,3,FALSE)</f>
        <v>近藤　玲汰</v>
      </c>
    </row>
    <row r="14" spans="1:48" s="144" customFormat="1" ht="14.25" customHeight="1">
      <c r="A14" s="181"/>
      <c r="B14" s="145" t="s">
        <v>11</v>
      </c>
      <c r="C14" s="146">
        <f t="shared" ref="C14:C41" si="0">SUM(R14,T14,V14,X14,Z14)</f>
        <v>161.25</v>
      </c>
      <c r="D14" s="147">
        <f t="shared" ref="D14" si="1">IF(C14&lt;=$C$10*K14,C14-$C$10*K14,IF($E$10*K14&lt;C14,C14-$E$10*K14,0))</f>
        <v>0</v>
      </c>
      <c r="E14" s="148">
        <f>VLOOKUP(B14,要員対応表!$B$4:$Y$51,9,FALSE)*K14</f>
        <v>900000</v>
      </c>
      <c r="F14" s="149">
        <f>IF(D14&gt;0,ROUND(D14*VLOOKUP(B14,要員対応表!$B$4:$Y$51,11,FALSE),0),ROUND(D14*VLOOKUP(B14,要員対応表!$B$4:$Y$51,10,FALSE),0))</f>
        <v>0</v>
      </c>
      <c r="G14" s="150">
        <f t="shared" ref="G14" si="2">E14+F14</f>
        <v>900000</v>
      </c>
      <c r="H14" s="150">
        <f t="shared" ref="H14:H41" si="3">SUM(S14,U14)</f>
        <v>0</v>
      </c>
      <c r="I14" s="218">
        <f t="shared" ref="I14:I41" si="4">SUM(W14,Y14)</f>
        <v>900000</v>
      </c>
      <c r="J14" s="151">
        <f t="shared" ref="J14:J41" si="5">AA14</f>
        <v>0</v>
      </c>
      <c r="K14" s="263">
        <v>1</v>
      </c>
      <c r="L14" s="267"/>
      <c r="M14" s="251"/>
      <c r="N14" s="155">
        <v>1</v>
      </c>
      <c r="O14" s="155"/>
      <c r="P14" s="191"/>
      <c r="Q14" s="256" t="s">
        <v>11</v>
      </c>
      <c r="R14" s="156"/>
      <c r="S14" s="157"/>
      <c r="T14" s="158"/>
      <c r="U14" s="157"/>
      <c r="V14" s="158">
        <v>161.25</v>
      </c>
      <c r="W14" s="159">
        <v>900000</v>
      </c>
      <c r="X14" s="158"/>
      <c r="Y14" s="159"/>
      <c r="Z14" s="158"/>
      <c r="AA14" s="160"/>
      <c r="AB14" s="152">
        <f t="shared" ref="AB14:AB41" si="6">G14-SUM(S14,U14,W14,Y14,AA14)</f>
        <v>0</v>
      </c>
      <c r="AD14" s="153"/>
      <c r="AE14" s="154" t="str">
        <f>VLOOKUP(B14,要員対応表!$B$4:$D$106,3,FALSE)</f>
        <v>阿部 悠汰</v>
      </c>
    </row>
    <row r="15" spans="1:48" s="144" customFormat="1" ht="14.25" customHeight="1">
      <c r="A15" s="181"/>
      <c r="B15" s="145" t="s">
        <v>9</v>
      </c>
      <c r="C15" s="146">
        <f t="shared" si="0"/>
        <v>161.75</v>
      </c>
      <c r="D15" s="147">
        <f t="shared" ref="D15:D41" si="7">IF(C15&lt;=$C$10*K15,C15-$C$10*K15,IF($E$10*K15&lt;C15,C15-$E$10*K15,0))</f>
        <v>0</v>
      </c>
      <c r="E15" s="148">
        <f>VLOOKUP(B15,要員対応表!$B$4:$Y$51,9,FALSE)*K15</f>
        <v>900000</v>
      </c>
      <c r="F15" s="149">
        <f>IF(D15&gt;0,ROUND(D15*VLOOKUP(B15,要員対応表!$B$4:$Y$51,11,FALSE),0),ROUND(D15*VLOOKUP(B15,要員対応表!$B$4:$Y$51,10,FALSE),0))</f>
        <v>0</v>
      </c>
      <c r="G15" s="150">
        <f t="shared" ref="G15" si="8">E15+F15</f>
        <v>900000</v>
      </c>
      <c r="H15" s="150">
        <f t="shared" si="3"/>
        <v>0</v>
      </c>
      <c r="I15" s="218">
        <f t="shared" si="4"/>
        <v>900000</v>
      </c>
      <c r="J15" s="151">
        <f t="shared" si="5"/>
        <v>0</v>
      </c>
      <c r="K15" s="263">
        <v>1</v>
      </c>
      <c r="L15" s="267"/>
      <c r="M15" s="251"/>
      <c r="N15" s="155"/>
      <c r="O15" s="155">
        <v>1</v>
      </c>
      <c r="P15" s="191"/>
      <c r="Q15" s="256" t="s">
        <v>9</v>
      </c>
      <c r="R15" s="156"/>
      <c r="S15" s="157"/>
      <c r="T15" s="158"/>
      <c r="U15" s="157"/>
      <c r="V15" s="158"/>
      <c r="W15" s="159"/>
      <c r="X15" s="158">
        <v>161.75</v>
      </c>
      <c r="Y15" s="159">
        <v>900000</v>
      </c>
      <c r="Z15" s="158"/>
      <c r="AA15" s="160"/>
      <c r="AB15" s="152">
        <f t="shared" si="6"/>
        <v>0</v>
      </c>
      <c r="AD15" s="153"/>
      <c r="AE15" s="154" t="str">
        <f>VLOOKUP(B15,要員対応表!$B$4:$D$106,3,FALSE)</f>
        <v>金田 大海</v>
      </c>
    </row>
    <row r="16" spans="1:48" s="144" customFormat="1" ht="14.25" customHeight="1">
      <c r="A16" s="181"/>
      <c r="B16" s="145" t="s">
        <v>14</v>
      </c>
      <c r="C16" s="146">
        <f t="shared" si="0"/>
        <v>160.25</v>
      </c>
      <c r="D16" s="147">
        <f t="shared" si="7"/>
        <v>0</v>
      </c>
      <c r="E16" s="148">
        <f>VLOOKUP(B16,要員対応表!$B$4:$Y$51,9,FALSE)*K16</f>
        <v>900000</v>
      </c>
      <c r="F16" s="149">
        <f>IF(D16&gt;0,ROUND(D16*VLOOKUP(B16,要員対応表!$B$4:$Y$51,11,FALSE),0),ROUND(D16*VLOOKUP(B16,要員対応表!$B$4:$Y$51,10,FALSE),0))</f>
        <v>0</v>
      </c>
      <c r="G16" s="150">
        <f t="shared" ref="G16" si="9">E16+F16</f>
        <v>900000</v>
      </c>
      <c r="H16" s="150">
        <f t="shared" si="3"/>
        <v>0</v>
      </c>
      <c r="I16" s="218">
        <f t="shared" si="4"/>
        <v>900000</v>
      </c>
      <c r="J16" s="151">
        <f t="shared" si="5"/>
        <v>0</v>
      </c>
      <c r="K16" s="263">
        <v>1</v>
      </c>
      <c r="L16" s="267"/>
      <c r="M16" s="251"/>
      <c r="N16" s="155">
        <v>1</v>
      </c>
      <c r="O16" s="155"/>
      <c r="P16" s="191"/>
      <c r="Q16" s="256" t="s">
        <v>14</v>
      </c>
      <c r="R16" s="156"/>
      <c r="S16" s="157"/>
      <c r="T16" s="158"/>
      <c r="U16" s="157"/>
      <c r="V16" s="158">
        <v>160.25</v>
      </c>
      <c r="W16" s="159">
        <v>900000</v>
      </c>
      <c r="X16" s="158"/>
      <c r="Y16" s="159"/>
      <c r="Z16" s="158"/>
      <c r="AA16" s="160"/>
      <c r="AB16" s="152">
        <f t="shared" si="6"/>
        <v>0</v>
      </c>
      <c r="AD16" s="153"/>
      <c r="AE16" s="154" t="str">
        <f>VLOOKUP(B16,要員対応表!$B$4:$D$106,3,FALSE)</f>
        <v>八百板　悠平</v>
      </c>
    </row>
    <row r="17" spans="1:31" s="144" customFormat="1" ht="14.25" customHeight="1">
      <c r="A17" s="181"/>
      <c r="B17" s="145" t="s">
        <v>12</v>
      </c>
      <c r="C17" s="146">
        <f t="shared" si="0"/>
        <v>162.25</v>
      </c>
      <c r="D17" s="147">
        <f t="shared" si="7"/>
        <v>0</v>
      </c>
      <c r="E17" s="148">
        <f>VLOOKUP(B17,要員対応表!$B$4:$Y$51,9,FALSE)*K17</f>
        <v>900000</v>
      </c>
      <c r="F17" s="149">
        <f>IF(D17&gt;0,ROUND(D17*VLOOKUP(B17,要員対応表!$B$4:$Y$51,11,FALSE),0),ROUND(D17*VLOOKUP(B17,要員対応表!$B$4:$Y$51,10,FALSE),0))</f>
        <v>0</v>
      </c>
      <c r="G17" s="150">
        <f t="shared" ref="G17:G25" si="10">E17+F17</f>
        <v>900000</v>
      </c>
      <c r="H17" s="150">
        <f t="shared" si="3"/>
        <v>0</v>
      </c>
      <c r="I17" s="218">
        <f t="shared" si="4"/>
        <v>900000</v>
      </c>
      <c r="J17" s="151">
        <f t="shared" si="5"/>
        <v>0</v>
      </c>
      <c r="K17" s="263">
        <v>1</v>
      </c>
      <c r="L17" s="267"/>
      <c r="M17" s="251"/>
      <c r="N17" s="155"/>
      <c r="O17" s="155">
        <v>1</v>
      </c>
      <c r="P17" s="191"/>
      <c r="Q17" s="256" t="s">
        <v>12</v>
      </c>
      <c r="R17" s="156"/>
      <c r="S17" s="157"/>
      <c r="T17" s="158"/>
      <c r="U17" s="157"/>
      <c r="V17" s="158"/>
      <c r="W17" s="159"/>
      <c r="X17" s="158">
        <v>162.25</v>
      </c>
      <c r="Y17" s="159">
        <v>900000</v>
      </c>
      <c r="Z17" s="158"/>
      <c r="AA17" s="160"/>
      <c r="AB17" s="152">
        <f t="shared" si="6"/>
        <v>0</v>
      </c>
      <c r="AE17" s="154" t="str">
        <f>VLOOKUP(B17,要員対応表!$B$4:$D$106,3,FALSE)</f>
        <v>堀沢 翔太</v>
      </c>
    </row>
    <row r="18" spans="1:31" s="144" customFormat="1" ht="14.25" customHeight="1">
      <c r="A18" s="181"/>
      <c r="B18" s="161" t="s">
        <v>6</v>
      </c>
      <c r="C18" s="146">
        <f t="shared" si="0"/>
        <v>162.5</v>
      </c>
      <c r="D18" s="162">
        <f t="shared" ref="D18" si="11">IF(C18&lt;=$C$10*K18,C18-$C$10*K18,IF($E$10*K18&lt;C18,C18-$E$10*K18,0))</f>
        <v>0</v>
      </c>
      <c r="E18" s="148">
        <f>VLOOKUP(B18,要員対応表!$B$4:$Y$51,9,FALSE)*K18</f>
        <v>900000</v>
      </c>
      <c r="F18" s="149">
        <f>IF(D18&gt;0,ROUND(D18*VLOOKUP(B18,要員対応表!$B$4:$Y$51,11,FALSE),0),ROUND(D18*VLOOKUP(B18,要員対応表!$B$4:$Y$51,10,FALSE),0))</f>
        <v>0</v>
      </c>
      <c r="G18" s="163">
        <f t="shared" si="10"/>
        <v>900000</v>
      </c>
      <c r="H18" s="150">
        <f t="shared" si="3"/>
        <v>900000</v>
      </c>
      <c r="I18" s="218">
        <f t="shared" si="4"/>
        <v>0</v>
      </c>
      <c r="J18" s="151">
        <f t="shared" si="5"/>
        <v>0</v>
      </c>
      <c r="K18" s="263">
        <v>1</v>
      </c>
      <c r="L18" s="268">
        <v>0.5</v>
      </c>
      <c r="M18" s="252">
        <v>0.5</v>
      </c>
      <c r="N18" s="164"/>
      <c r="O18" s="164"/>
      <c r="P18" s="192"/>
      <c r="Q18" s="257" t="s">
        <v>6</v>
      </c>
      <c r="R18" s="156">
        <v>114.75</v>
      </c>
      <c r="S18" s="157">
        <v>635538</v>
      </c>
      <c r="T18" s="158">
        <v>47.75</v>
      </c>
      <c r="U18" s="157">
        <v>264462</v>
      </c>
      <c r="V18" s="158"/>
      <c r="W18" s="159"/>
      <c r="X18" s="158"/>
      <c r="Y18" s="159"/>
      <c r="Z18" s="158"/>
      <c r="AA18" s="160"/>
      <c r="AB18" s="152">
        <f t="shared" si="6"/>
        <v>0</v>
      </c>
      <c r="AE18" s="154" t="str">
        <f>VLOOKUP(B18,要員対応表!$B$4:$D$106,3,FALSE)</f>
        <v>浅川 和貴</v>
      </c>
    </row>
    <row r="19" spans="1:31" s="144" customFormat="1" ht="14.25" customHeight="1">
      <c r="A19" s="181"/>
      <c r="B19" s="161" t="s">
        <v>8</v>
      </c>
      <c r="C19" s="146">
        <f t="shared" si="0"/>
        <v>169.5</v>
      </c>
      <c r="D19" s="162">
        <f t="shared" ref="D19" si="12">IF(C19&lt;=$C$10*K19,C19-$C$10*K19,IF($E$10*K19&lt;C19,C19-$E$10*K19,0))</f>
        <v>0</v>
      </c>
      <c r="E19" s="148">
        <f>VLOOKUP(B19,要員対応表!$B$4:$Y$51,9,FALSE)*K19</f>
        <v>900000</v>
      </c>
      <c r="F19" s="149">
        <f>IF(D19&gt;0,ROUND(D19*VLOOKUP(B19,要員対応表!$B$4:$Y$51,11,FALSE),0),ROUND(D19*VLOOKUP(B19,要員対応表!$B$4:$Y$51,10,FALSE),0))</f>
        <v>0</v>
      </c>
      <c r="G19" s="163">
        <f t="shared" si="10"/>
        <v>900000</v>
      </c>
      <c r="H19" s="150">
        <f t="shared" si="3"/>
        <v>900000</v>
      </c>
      <c r="I19" s="218">
        <f t="shared" si="4"/>
        <v>0</v>
      </c>
      <c r="J19" s="151">
        <f t="shared" si="5"/>
        <v>0</v>
      </c>
      <c r="K19" s="263">
        <v>1</v>
      </c>
      <c r="L19" s="268">
        <v>0.5</v>
      </c>
      <c r="M19" s="252">
        <v>0.5</v>
      </c>
      <c r="N19" s="164"/>
      <c r="O19" s="164"/>
      <c r="P19" s="192"/>
      <c r="Q19" s="257" t="s">
        <v>8</v>
      </c>
      <c r="R19" s="156">
        <v>147.25</v>
      </c>
      <c r="S19" s="157">
        <v>781858</v>
      </c>
      <c r="T19" s="158">
        <v>22.25</v>
      </c>
      <c r="U19" s="157">
        <v>118142</v>
      </c>
      <c r="V19" s="158"/>
      <c r="W19" s="159"/>
      <c r="X19" s="158"/>
      <c r="Y19" s="159"/>
      <c r="Z19" s="158"/>
      <c r="AA19" s="160"/>
      <c r="AB19" s="152">
        <f t="shared" si="6"/>
        <v>0</v>
      </c>
      <c r="AE19" s="154" t="str">
        <f>VLOOKUP(B19,要員対応表!$B$4:$D$106,3,FALSE)</f>
        <v>重信 壱成</v>
      </c>
    </row>
    <row r="20" spans="1:31" s="144" customFormat="1" ht="14.25" customHeight="1">
      <c r="A20" s="181"/>
      <c r="B20" s="161" t="s">
        <v>7</v>
      </c>
      <c r="C20" s="146">
        <f t="shared" si="0"/>
        <v>161.75</v>
      </c>
      <c r="D20" s="162">
        <f t="shared" si="7"/>
        <v>0</v>
      </c>
      <c r="E20" s="148">
        <f>VLOOKUP(B20,要員対応表!$B$4:$Y$51,9,FALSE)*K20</f>
        <v>900000</v>
      </c>
      <c r="F20" s="149">
        <f>IF(D20&gt;0,ROUND(D20*VLOOKUP(B20,要員対応表!$B$4:$Y$51,11,FALSE),0),ROUND(D20*VLOOKUP(B20,要員対応表!$B$4:$Y$51,10,FALSE),0))</f>
        <v>0</v>
      </c>
      <c r="G20" s="163">
        <f t="shared" si="10"/>
        <v>900000</v>
      </c>
      <c r="H20" s="150">
        <f t="shared" si="3"/>
        <v>0</v>
      </c>
      <c r="I20" s="218">
        <f t="shared" si="4"/>
        <v>900000</v>
      </c>
      <c r="J20" s="151">
        <f t="shared" si="5"/>
        <v>0</v>
      </c>
      <c r="K20" s="263">
        <v>1</v>
      </c>
      <c r="L20" s="268"/>
      <c r="M20" s="252"/>
      <c r="N20" s="164"/>
      <c r="O20" s="164">
        <v>1</v>
      </c>
      <c r="P20" s="192"/>
      <c r="Q20" s="257" t="s">
        <v>7</v>
      </c>
      <c r="R20" s="156"/>
      <c r="S20" s="157"/>
      <c r="T20" s="158"/>
      <c r="U20" s="157"/>
      <c r="V20" s="158"/>
      <c r="W20" s="159"/>
      <c r="X20" s="158">
        <v>161.75</v>
      </c>
      <c r="Y20" s="159">
        <v>900000</v>
      </c>
      <c r="Z20" s="158"/>
      <c r="AA20" s="160"/>
      <c r="AB20" s="152">
        <f t="shared" si="6"/>
        <v>0</v>
      </c>
      <c r="AE20" s="154" t="str">
        <f>VLOOKUP(B20,要員対応表!$B$4:$D$106,3,FALSE)</f>
        <v>スェ ジン ピュウ</v>
      </c>
    </row>
    <row r="21" spans="1:31" s="144" customFormat="1" ht="14.25" customHeight="1">
      <c r="A21" s="181"/>
      <c r="B21" s="161" t="s">
        <v>4</v>
      </c>
      <c r="C21" s="146">
        <f t="shared" si="0"/>
        <v>161</v>
      </c>
      <c r="D21" s="162">
        <f t="shared" ref="D21:D24" si="13">IF(C21&lt;=$C$10*K21,C21-$C$10*K21,IF($E$10*K21&lt;C21,C21-$E$10*K21,0))</f>
        <v>0</v>
      </c>
      <c r="E21" s="148">
        <f>VLOOKUP(B21,要員対応表!$B$4:$Y$51,9,FALSE)*K21</f>
        <v>950000</v>
      </c>
      <c r="F21" s="149">
        <f>IF(D21&gt;0,ROUND(D21*VLOOKUP(B21,要員対応表!$B$4:$Y$51,11,FALSE),0),ROUND(D21*VLOOKUP(B21,要員対応表!$B$4:$Y$51,10,FALSE),0))</f>
        <v>0</v>
      </c>
      <c r="G21" s="163">
        <f t="shared" ref="G21:G24" si="14">E21+F21</f>
        <v>950000</v>
      </c>
      <c r="H21" s="150">
        <f t="shared" si="3"/>
        <v>0</v>
      </c>
      <c r="I21" s="218">
        <f t="shared" si="4"/>
        <v>950000</v>
      </c>
      <c r="J21" s="151">
        <f t="shared" si="5"/>
        <v>0</v>
      </c>
      <c r="K21" s="263">
        <v>1</v>
      </c>
      <c r="L21" s="268"/>
      <c r="M21" s="252"/>
      <c r="N21" s="164"/>
      <c r="O21" s="164">
        <v>1</v>
      </c>
      <c r="P21" s="192"/>
      <c r="Q21" s="257" t="s">
        <v>4</v>
      </c>
      <c r="R21" s="156"/>
      <c r="S21" s="157"/>
      <c r="T21" s="158"/>
      <c r="U21" s="157"/>
      <c r="V21" s="158"/>
      <c r="W21" s="159"/>
      <c r="X21" s="158">
        <v>161</v>
      </c>
      <c r="Y21" s="159">
        <v>950000</v>
      </c>
      <c r="Z21" s="158"/>
      <c r="AA21" s="160"/>
      <c r="AB21" s="152">
        <f t="shared" si="6"/>
        <v>0</v>
      </c>
      <c r="AE21" s="154" t="str">
        <f>VLOOKUP(B21,要員対応表!$B$4:$D$106,3,FALSE)</f>
        <v>木村　俊介</v>
      </c>
    </row>
    <row r="22" spans="1:31" s="144" customFormat="1" ht="14.25" customHeight="1">
      <c r="A22" s="181"/>
      <c r="B22" s="161" t="s">
        <v>107</v>
      </c>
      <c r="C22" s="146">
        <f t="shared" si="0"/>
        <v>168.25</v>
      </c>
      <c r="D22" s="162">
        <f t="shared" si="13"/>
        <v>0</v>
      </c>
      <c r="E22" s="148">
        <f>VLOOKUP(B22,要員対応表!$B$4:$Y$51,9,FALSE)*K22</f>
        <v>950000</v>
      </c>
      <c r="F22" s="149">
        <f>IF(D22&gt;0,ROUND(D22*VLOOKUP(B22,要員対応表!$B$4:$Y$51,11,FALSE),0),ROUND(D22*VLOOKUP(B22,要員対応表!$B$4:$Y$51,10,FALSE),0))</f>
        <v>0</v>
      </c>
      <c r="G22" s="163">
        <f t="shared" si="14"/>
        <v>950000</v>
      </c>
      <c r="H22" s="150">
        <f t="shared" si="3"/>
        <v>0</v>
      </c>
      <c r="I22" s="218">
        <f t="shared" si="4"/>
        <v>950000</v>
      </c>
      <c r="J22" s="151">
        <f t="shared" si="5"/>
        <v>0</v>
      </c>
      <c r="K22" s="263">
        <v>1</v>
      </c>
      <c r="L22" s="268"/>
      <c r="M22" s="252"/>
      <c r="N22" s="164">
        <v>1</v>
      </c>
      <c r="O22" s="164"/>
      <c r="P22" s="192"/>
      <c r="Q22" s="257" t="s">
        <v>107</v>
      </c>
      <c r="R22" s="156"/>
      <c r="S22" s="157"/>
      <c r="T22" s="158"/>
      <c r="U22" s="157"/>
      <c r="V22" s="158">
        <v>168.25</v>
      </c>
      <c r="W22" s="159">
        <v>950000</v>
      </c>
      <c r="X22" s="158"/>
      <c r="Y22" s="159"/>
      <c r="Z22" s="158"/>
      <c r="AA22" s="160"/>
      <c r="AB22" s="152">
        <f t="shared" si="6"/>
        <v>0</v>
      </c>
      <c r="AE22" s="154" t="str">
        <f>VLOOKUP(B22,要員対応表!$B$4:$D$106,3,FALSE)</f>
        <v>山本　智也</v>
      </c>
    </row>
    <row r="23" spans="1:31" s="144" customFormat="1" ht="14.25" customHeight="1">
      <c r="A23" s="181"/>
      <c r="B23" s="161" t="s">
        <v>36</v>
      </c>
      <c r="C23" s="146">
        <f t="shared" si="0"/>
        <v>162.25</v>
      </c>
      <c r="D23" s="162">
        <f t="shared" ref="D23" si="15">IF(C23&lt;=$C$10*K23,C23-$C$10*K23,IF($E$10*K23&lt;C23,C23-$E$10*K23,0))</f>
        <v>0</v>
      </c>
      <c r="E23" s="148">
        <f>VLOOKUP(B23,要員対応表!$B$4:$Y$51,9,FALSE)*K23</f>
        <v>950000</v>
      </c>
      <c r="F23" s="149">
        <f>IF(D23&gt;0,ROUND(D23*VLOOKUP(B23,要員対応表!$B$4:$Y$51,11,FALSE),0),ROUND(D23*VLOOKUP(B23,要員対応表!$B$4:$Y$51,10,FALSE),0))</f>
        <v>0</v>
      </c>
      <c r="G23" s="163">
        <f t="shared" ref="G23" si="16">E23+F23</f>
        <v>950000</v>
      </c>
      <c r="H23" s="150">
        <f t="shared" si="3"/>
        <v>0</v>
      </c>
      <c r="I23" s="218">
        <f t="shared" si="4"/>
        <v>950000</v>
      </c>
      <c r="J23" s="151">
        <f t="shared" si="5"/>
        <v>0</v>
      </c>
      <c r="K23" s="263">
        <v>1</v>
      </c>
      <c r="L23" s="268"/>
      <c r="M23" s="252"/>
      <c r="N23" s="164"/>
      <c r="O23" s="164">
        <v>1</v>
      </c>
      <c r="P23" s="192"/>
      <c r="Q23" s="257" t="s">
        <v>36</v>
      </c>
      <c r="R23" s="156"/>
      <c r="S23" s="157"/>
      <c r="T23" s="158"/>
      <c r="U23" s="157"/>
      <c r="V23" s="158"/>
      <c r="W23" s="159"/>
      <c r="X23" s="158">
        <v>162.25</v>
      </c>
      <c r="Y23" s="159">
        <v>950000</v>
      </c>
      <c r="Z23" s="158"/>
      <c r="AA23" s="160"/>
      <c r="AB23" s="152">
        <f t="shared" si="6"/>
        <v>0</v>
      </c>
      <c r="AE23" s="154" t="str">
        <f>VLOOKUP(B23,要員対応表!$B$4:$D$106,3,FALSE)</f>
        <v>名城　藤貴雄</v>
      </c>
    </row>
    <row r="24" spans="1:31" s="144" customFormat="1" ht="14.25" customHeight="1">
      <c r="A24" s="181"/>
      <c r="B24" s="161" t="s">
        <v>37</v>
      </c>
      <c r="C24" s="146">
        <f t="shared" si="0"/>
        <v>170</v>
      </c>
      <c r="D24" s="162">
        <f t="shared" si="13"/>
        <v>0</v>
      </c>
      <c r="E24" s="148">
        <f>VLOOKUP(B24,要員対応表!$B$4:$Y$51,9,FALSE)*K24</f>
        <v>950000</v>
      </c>
      <c r="F24" s="149">
        <f>IF(D24&gt;0,ROUND(D24*VLOOKUP(B24,要員対応表!$B$4:$Y$51,11,FALSE),0),ROUND(D24*VLOOKUP(B24,要員対応表!$B$4:$Y$51,10,FALSE),0))</f>
        <v>0</v>
      </c>
      <c r="G24" s="163">
        <f t="shared" si="14"/>
        <v>950000</v>
      </c>
      <c r="H24" s="150">
        <f t="shared" si="3"/>
        <v>0</v>
      </c>
      <c r="I24" s="218">
        <f t="shared" si="4"/>
        <v>950000</v>
      </c>
      <c r="J24" s="151">
        <f t="shared" si="5"/>
        <v>0</v>
      </c>
      <c r="K24" s="263">
        <v>1</v>
      </c>
      <c r="L24" s="268"/>
      <c r="M24" s="252"/>
      <c r="N24" s="164"/>
      <c r="O24" s="164">
        <v>1</v>
      </c>
      <c r="P24" s="192"/>
      <c r="Q24" s="257" t="s">
        <v>37</v>
      </c>
      <c r="R24" s="156"/>
      <c r="S24" s="157"/>
      <c r="T24" s="158"/>
      <c r="U24" s="157"/>
      <c r="V24" s="158"/>
      <c r="W24" s="159"/>
      <c r="X24" s="158">
        <v>170</v>
      </c>
      <c r="Y24" s="159">
        <v>950000</v>
      </c>
      <c r="Z24" s="158"/>
      <c r="AA24" s="160"/>
      <c r="AB24" s="152">
        <f t="shared" si="6"/>
        <v>0</v>
      </c>
      <c r="AE24" s="154" t="str">
        <f>VLOOKUP(B24,要員対応表!$B$4:$D$106,3,FALSE)</f>
        <v>細井　亮司</v>
      </c>
    </row>
    <row r="25" spans="1:31" s="144" customFormat="1" ht="14.25" customHeight="1">
      <c r="A25" s="181"/>
      <c r="B25" s="161" t="s">
        <v>39</v>
      </c>
      <c r="C25" s="146">
        <f t="shared" si="0"/>
        <v>143</v>
      </c>
      <c r="D25" s="162">
        <f t="shared" si="7"/>
        <v>0</v>
      </c>
      <c r="E25" s="148">
        <f>VLOOKUP(B25,要員対応表!$B$4:$Y$51,9,FALSE)*K25</f>
        <v>1000000</v>
      </c>
      <c r="F25" s="149">
        <f>IF(D25&gt;0,ROUND(D25*VLOOKUP(B25,要員対応表!$B$4:$Y$51,11,FALSE),0),ROUND(D25*VLOOKUP(B25,要員対応表!$B$4:$Y$51,10,FALSE),0))</f>
        <v>0</v>
      </c>
      <c r="G25" s="163">
        <f t="shared" si="10"/>
        <v>1000000</v>
      </c>
      <c r="H25" s="150">
        <f t="shared" si="3"/>
        <v>0</v>
      </c>
      <c r="I25" s="218">
        <f t="shared" si="4"/>
        <v>1000000</v>
      </c>
      <c r="J25" s="151">
        <f t="shared" si="5"/>
        <v>0</v>
      </c>
      <c r="K25" s="263">
        <v>1</v>
      </c>
      <c r="L25" s="268"/>
      <c r="M25" s="252"/>
      <c r="N25" s="164">
        <v>1</v>
      </c>
      <c r="O25" s="164"/>
      <c r="P25" s="192"/>
      <c r="Q25" s="257" t="s">
        <v>39</v>
      </c>
      <c r="R25" s="156"/>
      <c r="S25" s="157"/>
      <c r="T25" s="158"/>
      <c r="U25" s="157"/>
      <c r="V25" s="158">
        <v>143</v>
      </c>
      <c r="W25" s="159">
        <v>1000000</v>
      </c>
      <c r="X25" s="158"/>
      <c r="Y25" s="159"/>
      <c r="Z25" s="158"/>
      <c r="AA25" s="160"/>
      <c r="AB25" s="152">
        <f t="shared" si="6"/>
        <v>0</v>
      </c>
      <c r="AE25" s="154" t="str">
        <f>VLOOKUP(B25,要員対応表!$B$4:$D$106,3,FALSE)</f>
        <v>矢代　一人</v>
      </c>
    </row>
    <row r="26" spans="1:31" s="144" customFormat="1" ht="14.25" customHeight="1">
      <c r="A26" s="181"/>
      <c r="B26" s="145" t="s">
        <v>40</v>
      </c>
      <c r="C26" s="146">
        <f t="shared" si="0"/>
        <v>154.5</v>
      </c>
      <c r="D26" s="147">
        <f t="shared" ref="D26:D27" si="17">IF(C26&lt;=$C$10*K26,C26-$C$10*K26,IF($E$10*K26&lt;C26,C26-$E$10*K26,0))</f>
        <v>0</v>
      </c>
      <c r="E26" s="148">
        <f>VLOOKUP(B26,要員対応表!$B$4:$Y$51,9,FALSE)*K26</f>
        <v>1000000</v>
      </c>
      <c r="F26" s="149">
        <f>IF(D26&gt;0,ROUND(D26*VLOOKUP(B26,要員対応表!$B$4:$Y$51,11,FALSE),0),ROUND(D26*VLOOKUP(B26,要員対応表!$B$4:$Y$51,10,FALSE),0))</f>
        <v>0</v>
      </c>
      <c r="G26" s="150">
        <f t="shared" ref="G26:G27" si="18">E26+F26</f>
        <v>1000000</v>
      </c>
      <c r="H26" s="150">
        <f t="shared" si="3"/>
        <v>0</v>
      </c>
      <c r="I26" s="218">
        <f t="shared" si="4"/>
        <v>1000000</v>
      </c>
      <c r="J26" s="151">
        <f t="shared" si="5"/>
        <v>0</v>
      </c>
      <c r="K26" s="263">
        <v>1</v>
      </c>
      <c r="L26" s="267"/>
      <c r="M26" s="251"/>
      <c r="N26" s="155">
        <v>1</v>
      </c>
      <c r="O26" s="155"/>
      <c r="P26" s="191"/>
      <c r="Q26" s="256" t="s">
        <v>40</v>
      </c>
      <c r="R26" s="156"/>
      <c r="S26" s="157"/>
      <c r="T26" s="158"/>
      <c r="U26" s="157"/>
      <c r="V26" s="158">
        <v>154.5</v>
      </c>
      <c r="W26" s="159">
        <v>1000000</v>
      </c>
      <c r="X26" s="158"/>
      <c r="Y26" s="159"/>
      <c r="Z26" s="158"/>
      <c r="AA26" s="160"/>
      <c r="AB26" s="152">
        <f t="shared" si="6"/>
        <v>0</v>
      </c>
      <c r="AD26" s="153"/>
      <c r="AE26" s="154" t="str">
        <f>VLOOKUP(B26,要員対応表!$B$4:$D$106,3,FALSE)</f>
        <v>國吉　健太</v>
      </c>
    </row>
    <row r="27" spans="1:31" s="144" customFormat="1" ht="14.25" customHeight="1">
      <c r="A27" s="181"/>
      <c r="B27" s="145" t="s">
        <v>13</v>
      </c>
      <c r="C27" s="146">
        <f t="shared" si="0"/>
        <v>161.5</v>
      </c>
      <c r="D27" s="147">
        <f t="shared" si="17"/>
        <v>0</v>
      </c>
      <c r="E27" s="148">
        <f>VLOOKUP(B27,要員対応表!$B$4:$Y$51,9,FALSE)*K27</f>
        <v>1000000</v>
      </c>
      <c r="F27" s="149">
        <f>IF(D27&gt;0,ROUND(D27*VLOOKUP(B27,要員対応表!$B$4:$Y$51,11,FALSE),0),ROUND(D27*VLOOKUP(B27,要員対応表!$B$4:$Y$51,10,FALSE),0))</f>
        <v>0</v>
      </c>
      <c r="G27" s="150">
        <f t="shared" si="18"/>
        <v>1000000</v>
      </c>
      <c r="H27" s="150">
        <f t="shared" si="3"/>
        <v>0</v>
      </c>
      <c r="I27" s="218">
        <f t="shared" si="4"/>
        <v>1000000</v>
      </c>
      <c r="J27" s="151">
        <f t="shared" si="5"/>
        <v>0</v>
      </c>
      <c r="K27" s="263">
        <v>1</v>
      </c>
      <c r="L27" s="267"/>
      <c r="M27" s="251"/>
      <c r="N27" s="155">
        <v>1</v>
      </c>
      <c r="O27" s="155"/>
      <c r="P27" s="191"/>
      <c r="Q27" s="256" t="s">
        <v>13</v>
      </c>
      <c r="R27" s="156"/>
      <c r="S27" s="157"/>
      <c r="T27" s="158"/>
      <c r="U27" s="157"/>
      <c r="V27" s="158">
        <v>161.5</v>
      </c>
      <c r="W27" s="159">
        <v>1000000</v>
      </c>
      <c r="X27" s="158"/>
      <c r="Y27" s="159"/>
      <c r="Z27" s="158"/>
      <c r="AA27" s="160"/>
      <c r="AB27" s="152">
        <f t="shared" si="6"/>
        <v>0</v>
      </c>
      <c r="AD27" s="153"/>
      <c r="AE27" s="154" t="str">
        <f>VLOOKUP(B27,要員対応表!$B$4:$D$106,3,FALSE)</f>
        <v>魏　陽</v>
      </c>
    </row>
    <row r="28" spans="1:31" s="144" customFormat="1" ht="14.25" customHeight="1">
      <c r="A28" s="181"/>
      <c r="B28" s="145" t="s">
        <v>41</v>
      </c>
      <c r="C28" s="146">
        <f t="shared" si="0"/>
        <v>153.5</v>
      </c>
      <c r="D28" s="147">
        <f t="shared" si="7"/>
        <v>0</v>
      </c>
      <c r="E28" s="148">
        <f>VLOOKUP(B28,要員対応表!$B$4:$Y$51,9,FALSE)*K28</f>
        <v>1000000</v>
      </c>
      <c r="F28" s="149">
        <f>IF(D28&gt;0,ROUND(D28*VLOOKUP(B28,要員対応表!$B$4:$Y$51,11,FALSE),0),ROUND(D28*VLOOKUP(B28,要員対応表!$B$4:$Y$51,10,FALSE),0))</f>
        <v>0</v>
      </c>
      <c r="G28" s="150">
        <f t="shared" ref="G28" si="19">E28+F28</f>
        <v>1000000</v>
      </c>
      <c r="H28" s="150">
        <f t="shared" si="3"/>
        <v>0</v>
      </c>
      <c r="I28" s="218">
        <f t="shared" si="4"/>
        <v>1000000</v>
      </c>
      <c r="J28" s="151">
        <f t="shared" si="5"/>
        <v>0</v>
      </c>
      <c r="K28" s="263">
        <v>1</v>
      </c>
      <c r="L28" s="267"/>
      <c r="M28" s="251"/>
      <c r="N28" s="155">
        <v>1</v>
      </c>
      <c r="O28" s="155"/>
      <c r="P28" s="191"/>
      <c r="Q28" s="256" t="s">
        <v>41</v>
      </c>
      <c r="R28" s="156"/>
      <c r="S28" s="157"/>
      <c r="T28" s="158"/>
      <c r="U28" s="157"/>
      <c r="V28" s="158">
        <v>153.5</v>
      </c>
      <c r="W28" s="159">
        <v>1000000</v>
      </c>
      <c r="X28" s="158"/>
      <c r="Y28" s="159"/>
      <c r="Z28" s="158"/>
      <c r="AA28" s="160"/>
      <c r="AB28" s="152">
        <f t="shared" si="6"/>
        <v>0</v>
      </c>
      <c r="AD28" s="153"/>
      <c r="AE28" s="154" t="str">
        <f>VLOOKUP(B28,要員対応表!$B$4:$D$106,3,FALSE)</f>
        <v>二ノ宮 達郎</v>
      </c>
    </row>
    <row r="29" spans="1:31" s="144" customFormat="1" ht="14.25" customHeight="1">
      <c r="A29" s="181"/>
      <c r="B29" s="145" t="s">
        <v>111</v>
      </c>
      <c r="C29" s="146">
        <f t="shared" si="0"/>
        <v>159.75</v>
      </c>
      <c r="D29" s="147">
        <f t="shared" si="7"/>
        <v>0</v>
      </c>
      <c r="E29" s="148">
        <f>VLOOKUP(B29,要員対応表!$B$4:$Y$51,9,FALSE)*K29</f>
        <v>1000000</v>
      </c>
      <c r="F29" s="149">
        <f>IF(D29&gt;0,ROUND(D29*VLOOKUP(B29,要員対応表!$B$4:$Y$51,11,FALSE),0),ROUND(D29*VLOOKUP(B29,要員対応表!$B$4:$Y$51,10,FALSE),0))</f>
        <v>0</v>
      </c>
      <c r="G29" s="150">
        <f>E29+F29</f>
        <v>1000000</v>
      </c>
      <c r="H29" s="150">
        <f t="shared" si="3"/>
        <v>0</v>
      </c>
      <c r="I29" s="218">
        <f t="shared" si="4"/>
        <v>0</v>
      </c>
      <c r="J29" s="151">
        <f t="shared" si="5"/>
        <v>1000000</v>
      </c>
      <c r="K29" s="263">
        <v>1</v>
      </c>
      <c r="L29" s="267"/>
      <c r="M29" s="251"/>
      <c r="N29" s="155"/>
      <c r="O29" s="155"/>
      <c r="P29" s="191">
        <v>1</v>
      </c>
      <c r="Q29" s="256" t="s">
        <v>111</v>
      </c>
      <c r="R29" s="156"/>
      <c r="S29" s="157"/>
      <c r="T29" s="158"/>
      <c r="U29" s="157"/>
      <c r="V29" s="158"/>
      <c r="W29" s="159"/>
      <c r="X29" s="158"/>
      <c r="Y29" s="159"/>
      <c r="Z29" s="158">
        <v>159.75</v>
      </c>
      <c r="AA29" s="160">
        <v>1000000</v>
      </c>
      <c r="AB29" s="152">
        <f t="shared" si="6"/>
        <v>0</v>
      </c>
      <c r="AD29" s="153"/>
      <c r="AE29" s="154" t="str">
        <f>VLOOKUP(B29,要員対応表!$B$4:$D$106,3,FALSE)</f>
        <v>田崎　猛</v>
      </c>
    </row>
    <row r="30" spans="1:31" s="144" customFormat="1" ht="14.25" customHeight="1">
      <c r="A30" s="181"/>
      <c r="B30" s="161" t="s">
        <v>33</v>
      </c>
      <c r="C30" s="146">
        <f t="shared" si="0"/>
        <v>165</v>
      </c>
      <c r="D30" s="162">
        <f t="shared" si="7"/>
        <v>0</v>
      </c>
      <c r="E30" s="148">
        <f>VLOOKUP(B30,要員対応表!$B$4:$Y$51,9,FALSE)*K30</f>
        <v>1000000</v>
      </c>
      <c r="F30" s="149">
        <f>IF(D30&gt;0,ROUND(D30*VLOOKUP(B30,要員対応表!$B$4:$Y$51,11,FALSE),0),ROUND(D30*VLOOKUP(B30,要員対応表!$B$4:$Y$51,10,FALSE),0))</f>
        <v>0</v>
      </c>
      <c r="G30" s="163">
        <f t="shared" ref="G30" si="20">E30+F30</f>
        <v>1000000</v>
      </c>
      <c r="H30" s="150">
        <f t="shared" si="3"/>
        <v>1000000</v>
      </c>
      <c r="I30" s="218">
        <f t="shared" si="4"/>
        <v>0</v>
      </c>
      <c r="J30" s="151">
        <f t="shared" si="5"/>
        <v>0</v>
      </c>
      <c r="K30" s="263">
        <v>1</v>
      </c>
      <c r="L30" s="268">
        <v>0.5</v>
      </c>
      <c r="M30" s="252">
        <v>0.5</v>
      </c>
      <c r="N30" s="164"/>
      <c r="O30" s="164"/>
      <c r="P30" s="192"/>
      <c r="Q30" s="257" t="s">
        <v>33</v>
      </c>
      <c r="R30" s="156">
        <v>124</v>
      </c>
      <c r="S30" s="159">
        <v>751515</v>
      </c>
      <c r="T30" s="249">
        <v>41</v>
      </c>
      <c r="U30" s="157">
        <v>248485</v>
      </c>
      <c r="V30" s="158"/>
      <c r="W30" s="159"/>
      <c r="X30" s="158"/>
      <c r="Y30" s="159"/>
      <c r="Z30" s="158"/>
      <c r="AA30" s="160"/>
      <c r="AB30" s="152">
        <f t="shared" si="6"/>
        <v>0</v>
      </c>
      <c r="AE30" s="154" t="str">
        <f>VLOOKUP(B30,要員対応表!$B$4:$D$106,3,FALSE)</f>
        <v>ファム　フィ　アイン</v>
      </c>
    </row>
    <row r="31" spans="1:31" s="144" customFormat="1" ht="14.25" customHeight="1">
      <c r="A31" s="181"/>
      <c r="B31" s="145" t="s">
        <v>34</v>
      </c>
      <c r="C31" s="146">
        <f t="shared" si="0"/>
        <v>150</v>
      </c>
      <c r="D31" s="147">
        <f t="shared" si="7"/>
        <v>0</v>
      </c>
      <c r="E31" s="148">
        <f>VLOOKUP(B31,要員対応表!$B$4:$Y$51,9,FALSE)*K31</f>
        <v>1050000</v>
      </c>
      <c r="F31" s="149">
        <f>IF(D31&gt;0,ROUND(D31*VLOOKUP(B31,要員対応表!$B$4:$Y$51,11,FALSE),0),ROUND(D31*VLOOKUP(B31,要員対応表!$B$4:$Y$51,10,FALSE),0))</f>
        <v>0</v>
      </c>
      <c r="G31" s="150">
        <f t="shared" ref="G31:G33" si="21">E31+F31</f>
        <v>1050000</v>
      </c>
      <c r="H31" s="150">
        <f t="shared" si="3"/>
        <v>0</v>
      </c>
      <c r="I31" s="218">
        <f t="shared" si="4"/>
        <v>1050000</v>
      </c>
      <c r="J31" s="151">
        <f t="shared" si="5"/>
        <v>0</v>
      </c>
      <c r="K31" s="263">
        <v>1</v>
      </c>
      <c r="L31" s="267"/>
      <c r="M31" s="251"/>
      <c r="N31" s="155">
        <v>1</v>
      </c>
      <c r="O31" s="155"/>
      <c r="P31" s="191"/>
      <c r="Q31" s="256" t="s">
        <v>34</v>
      </c>
      <c r="R31" s="156"/>
      <c r="S31" s="157"/>
      <c r="T31" s="158"/>
      <c r="U31" s="157"/>
      <c r="V31" s="158">
        <v>150</v>
      </c>
      <c r="W31" s="159">
        <v>1050000</v>
      </c>
      <c r="X31" s="158"/>
      <c r="Y31" s="159"/>
      <c r="Z31" s="158"/>
      <c r="AA31" s="160"/>
      <c r="AB31" s="152">
        <f t="shared" si="6"/>
        <v>0</v>
      </c>
      <c r="AD31" s="153"/>
      <c r="AE31" s="154" t="str">
        <f>VLOOKUP(B31,要員対応表!$B$4:$D$106,3,FALSE)</f>
        <v>堀井 雅史</v>
      </c>
    </row>
    <row r="32" spans="1:31" s="144" customFormat="1" ht="14.25" customHeight="1">
      <c r="A32" s="181"/>
      <c r="B32" s="145" t="s">
        <v>32</v>
      </c>
      <c r="C32" s="146">
        <f t="shared" si="0"/>
        <v>153.75</v>
      </c>
      <c r="D32" s="147">
        <f t="shared" si="7"/>
        <v>0</v>
      </c>
      <c r="E32" s="148">
        <f>VLOOKUP(B32,要員対応表!$B$4:$Y$51,9,FALSE)*K32</f>
        <v>1050000</v>
      </c>
      <c r="F32" s="149">
        <f>IF(D32&gt;0,ROUND(D32*VLOOKUP(B32,要員対応表!$B$4:$Y$51,11,FALSE),0),ROUND(D32*VLOOKUP(B32,要員対応表!$B$4:$Y$51,10,FALSE),0))</f>
        <v>0</v>
      </c>
      <c r="G32" s="150">
        <f t="shared" si="21"/>
        <v>1050000</v>
      </c>
      <c r="H32" s="150">
        <f t="shared" si="3"/>
        <v>0</v>
      </c>
      <c r="I32" s="218">
        <f t="shared" si="4"/>
        <v>1050000</v>
      </c>
      <c r="J32" s="151">
        <f t="shared" si="5"/>
        <v>0</v>
      </c>
      <c r="K32" s="263">
        <v>1</v>
      </c>
      <c r="L32" s="267"/>
      <c r="M32" s="251"/>
      <c r="N32" s="155">
        <v>1</v>
      </c>
      <c r="O32" s="155"/>
      <c r="P32" s="191"/>
      <c r="Q32" s="256" t="s">
        <v>32</v>
      </c>
      <c r="R32" s="156"/>
      <c r="S32" s="157"/>
      <c r="T32" s="158"/>
      <c r="U32" s="157"/>
      <c r="V32" s="158">
        <v>153.75</v>
      </c>
      <c r="W32" s="159">
        <v>1050000</v>
      </c>
      <c r="X32" s="158"/>
      <c r="Y32" s="159"/>
      <c r="Z32" s="158"/>
      <c r="AA32" s="160"/>
      <c r="AB32" s="152">
        <f t="shared" si="6"/>
        <v>0</v>
      </c>
      <c r="AD32" s="153"/>
      <c r="AE32" s="154" t="str">
        <f>VLOOKUP(B32,要員対応表!$B$4:$D$106,3,FALSE)</f>
        <v>吉岡　真太郎</v>
      </c>
    </row>
    <row r="33" spans="1:31" s="144" customFormat="1" ht="14.25" customHeight="1">
      <c r="A33" s="181"/>
      <c r="B33" s="145" t="s">
        <v>172</v>
      </c>
      <c r="C33" s="146">
        <f t="shared" si="0"/>
        <v>168.75</v>
      </c>
      <c r="D33" s="147">
        <f t="shared" si="7"/>
        <v>0</v>
      </c>
      <c r="E33" s="148">
        <f>VLOOKUP(B33,要員対応表!$B$4:$Y$51,9,FALSE)*K33</f>
        <v>1050000</v>
      </c>
      <c r="F33" s="149">
        <f>IF(D33&gt;0,ROUND(D33*VLOOKUP(B33,要員対応表!$B$4:$Y$51,11,FALSE),0),ROUND(D33*VLOOKUP(B33,要員対応表!$B$4:$Y$51,10,FALSE),0))</f>
        <v>0</v>
      </c>
      <c r="G33" s="150">
        <f t="shared" si="21"/>
        <v>1050000</v>
      </c>
      <c r="H33" s="150">
        <f t="shared" si="3"/>
        <v>0</v>
      </c>
      <c r="I33" s="218">
        <f t="shared" si="4"/>
        <v>1050000</v>
      </c>
      <c r="J33" s="151">
        <f t="shared" si="5"/>
        <v>0</v>
      </c>
      <c r="K33" s="263">
        <v>1</v>
      </c>
      <c r="L33" s="267"/>
      <c r="M33" s="251"/>
      <c r="N33" s="155"/>
      <c r="O33" s="155">
        <v>1</v>
      </c>
      <c r="P33" s="191"/>
      <c r="Q33" s="256" t="s">
        <v>172</v>
      </c>
      <c r="R33" s="156"/>
      <c r="S33" s="157"/>
      <c r="T33" s="158"/>
      <c r="U33" s="157"/>
      <c r="V33" s="158"/>
      <c r="W33" s="159"/>
      <c r="X33" s="158">
        <v>168.75</v>
      </c>
      <c r="Y33" s="159">
        <v>1050000</v>
      </c>
      <c r="Z33" s="158"/>
      <c r="AA33" s="160"/>
      <c r="AB33" s="152">
        <f t="shared" si="6"/>
        <v>0</v>
      </c>
      <c r="AD33" s="153"/>
      <c r="AE33" s="154" t="str">
        <f>VLOOKUP(B33,要員対応表!$B$4:$D$106,3,FALSE)</f>
        <v>小熊　義樹</v>
      </c>
    </row>
    <row r="34" spans="1:31" s="144" customFormat="1" ht="14.25" customHeight="1">
      <c r="A34" s="181"/>
      <c r="B34" s="145" t="s">
        <v>0</v>
      </c>
      <c r="C34" s="146">
        <f t="shared" si="0"/>
        <v>164.5</v>
      </c>
      <c r="D34" s="147">
        <f t="shared" si="7"/>
        <v>0</v>
      </c>
      <c r="E34" s="148">
        <f>VLOOKUP(B34,要員対応表!$B$4:$Y$51,9,FALSE)*K34</f>
        <v>1100000</v>
      </c>
      <c r="F34" s="149">
        <f>IF(D34&gt;0,ROUND(D34*VLOOKUP(B34,要員対応表!$B$4:$Y$51,11,FALSE),0),ROUND(D34*VLOOKUP(B34,要員対応表!$B$4:$Y$51,10,FALSE),0))</f>
        <v>0</v>
      </c>
      <c r="G34" s="150">
        <f t="shared" ref="G34" si="22">E34+F34</f>
        <v>1100000</v>
      </c>
      <c r="H34" s="150">
        <f t="shared" si="3"/>
        <v>0</v>
      </c>
      <c r="I34" s="218">
        <f t="shared" si="4"/>
        <v>0</v>
      </c>
      <c r="J34" s="151">
        <f t="shared" si="5"/>
        <v>1100000</v>
      </c>
      <c r="K34" s="263">
        <v>1</v>
      </c>
      <c r="L34" s="267"/>
      <c r="M34" s="251"/>
      <c r="N34" s="155"/>
      <c r="O34" s="155"/>
      <c r="P34" s="191">
        <v>1</v>
      </c>
      <c r="Q34" s="256" t="s">
        <v>0</v>
      </c>
      <c r="R34" s="156"/>
      <c r="S34" s="157"/>
      <c r="T34" s="158"/>
      <c r="U34" s="157"/>
      <c r="V34" s="158"/>
      <c r="W34" s="159"/>
      <c r="X34" s="158"/>
      <c r="Y34" s="159"/>
      <c r="Z34" s="158">
        <v>164.5</v>
      </c>
      <c r="AA34" s="160">
        <v>1100000</v>
      </c>
      <c r="AB34" s="152">
        <f t="shared" si="6"/>
        <v>0</v>
      </c>
      <c r="AD34" s="153"/>
      <c r="AE34" s="154" t="str">
        <f>VLOOKUP(B34,要員対応表!$B$4:$D$106,3,FALSE)</f>
        <v>中村　洋太</v>
      </c>
    </row>
    <row r="35" spans="1:31" s="144" customFormat="1" ht="14.25" customHeight="1">
      <c r="A35" s="181"/>
      <c r="B35" s="161" t="s">
        <v>1</v>
      </c>
      <c r="C35" s="146">
        <f t="shared" si="0"/>
        <v>159.5</v>
      </c>
      <c r="D35" s="162">
        <f t="shared" ref="D35" si="23">IF(C35&lt;=$C$10*K35,C35-$C$10*K35,IF($E$10*K35&lt;C35,C35-$E$10*K35,0))</f>
        <v>0</v>
      </c>
      <c r="E35" s="148">
        <f>VLOOKUP(B35,要員対応表!$B$4:$Y$51,9,FALSE)*K35</f>
        <v>1150000</v>
      </c>
      <c r="F35" s="149">
        <f>IF(D35&gt;0,ROUND(D35*VLOOKUP(B35,要員対応表!$B$4:$Y$51,11,FALSE),0),ROUND(D35*VLOOKUP(B35,要員対応表!$B$4:$Y$51,10,FALSE),0))</f>
        <v>0</v>
      </c>
      <c r="G35" s="163">
        <f>E35+F35</f>
        <v>1150000</v>
      </c>
      <c r="H35" s="150">
        <f t="shared" si="3"/>
        <v>0</v>
      </c>
      <c r="I35" s="218">
        <f t="shared" si="4"/>
        <v>1150000</v>
      </c>
      <c r="J35" s="151">
        <f t="shared" si="5"/>
        <v>0</v>
      </c>
      <c r="K35" s="264">
        <v>1</v>
      </c>
      <c r="L35" s="268"/>
      <c r="M35" s="252"/>
      <c r="N35" s="164">
        <v>1</v>
      </c>
      <c r="O35" s="164"/>
      <c r="P35" s="192"/>
      <c r="Q35" s="257" t="s">
        <v>1</v>
      </c>
      <c r="R35" s="156"/>
      <c r="S35" s="157"/>
      <c r="T35" s="158"/>
      <c r="U35" s="157"/>
      <c r="V35" s="158">
        <v>159.5</v>
      </c>
      <c r="W35" s="159">
        <v>1150000</v>
      </c>
      <c r="X35" s="158"/>
      <c r="Y35" s="159"/>
      <c r="Z35" s="158"/>
      <c r="AA35" s="160"/>
      <c r="AB35" s="152">
        <f t="shared" si="6"/>
        <v>0</v>
      </c>
      <c r="AE35" s="154" t="str">
        <f>VLOOKUP(B35,要員対応表!$B$4:$D$106,3,FALSE)</f>
        <v>稲田　健志</v>
      </c>
    </row>
    <row r="36" spans="1:31" s="144" customFormat="1" ht="14.25" customHeight="1">
      <c r="A36" s="181"/>
      <c r="B36" s="161" t="s">
        <v>10</v>
      </c>
      <c r="C36" s="146">
        <f t="shared" si="0"/>
        <v>163.75</v>
      </c>
      <c r="D36" s="162">
        <f t="shared" si="7"/>
        <v>0</v>
      </c>
      <c r="E36" s="148">
        <f>VLOOKUP(B36,要員対応表!$B$4:$Y$51,9,FALSE)*K36</f>
        <v>1150000</v>
      </c>
      <c r="F36" s="149">
        <f>IF(D36&gt;0,ROUND(D36*VLOOKUP(B36,要員対応表!$B$4:$Y$51,11,FALSE),0),ROUND(D36*VLOOKUP(B36,要員対応表!$B$4:$Y$51,10,FALSE),0))</f>
        <v>0</v>
      </c>
      <c r="G36" s="163">
        <f>E36+F36</f>
        <v>1150000</v>
      </c>
      <c r="H36" s="150">
        <f t="shared" si="3"/>
        <v>0</v>
      </c>
      <c r="I36" s="218">
        <f t="shared" si="4"/>
        <v>1150000</v>
      </c>
      <c r="J36" s="151">
        <f t="shared" si="5"/>
        <v>0</v>
      </c>
      <c r="K36" s="264">
        <v>1</v>
      </c>
      <c r="L36" s="268"/>
      <c r="M36" s="252"/>
      <c r="N36" s="164">
        <v>1</v>
      </c>
      <c r="O36" s="164"/>
      <c r="P36" s="192"/>
      <c r="Q36" s="257" t="s">
        <v>10</v>
      </c>
      <c r="R36" s="156"/>
      <c r="S36" s="159"/>
      <c r="T36" s="249"/>
      <c r="U36" s="157"/>
      <c r="V36" s="158">
        <v>163.75</v>
      </c>
      <c r="W36" s="159">
        <v>1150000</v>
      </c>
      <c r="X36" s="158"/>
      <c r="Y36" s="159"/>
      <c r="Z36" s="158"/>
      <c r="AA36" s="160"/>
      <c r="AB36" s="152">
        <f t="shared" si="6"/>
        <v>0</v>
      </c>
      <c r="AE36" s="154" t="str">
        <f>VLOOKUP(B36,要員対応表!$B$4:$D$106,3,FALSE)</f>
        <v>佐藤　弘幸</v>
      </c>
    </row>
    <row r="37" spans="1:31" s="144" customFormat="1" ht="14.25" customHeight="1">
      <c r="A37" s="181"/>
      <c r="B37" s="145" t="s">
        <v>102</v>
      </c>
      <c r="C37" s="146">
        <f t="shared" si="0"/>
        <v>195.25</v>
      </c>
      <c r="D37" s="147">
        <f t="shared" si="7"/>
        <v>5.25</v>
      </c>
      <c r="E37" s="148">
        <f>VLOOKUP(B37,要員対応表!$B$4:$Y$51,9,FALSE)*K37</f>
        <v>1150000</v>
      </c>
      <c r="F37" s="149">
        <f>IF(D37&gt;0,ROUND(D37*VLOOKUP(B37,要員対応表!$B$4:$Y$51,11,FALSE),0),ROUND(D37*VLOOKUP(B37,要員対応表!$B$4:$Y$51,10,FALSE),0))</f>
        <v>46725</v>
      </c>
      <c r="G37" s="150">
        <f>E37+F37</f>
        <v>1196725</v>
      </c>
      <c r="H37" s="150">
        <f t="shared" si="3"/>
        <v>0</v>
      </c>
      <c r="I37" s="218">
        <f t="shared" si="4"/>
        <v>1196725</v>
      </c>
      <c r="J37" s="151">
        <f t="shared" si="5"/>
        <v>0</v>
      </c>
      <c r="K37" s="263">
        <v>1</v>
      </c>
      <c r="L37" s="267"/>
      <c r="M37" s="251"/>
      <c r="N37" s="155"/>
      <c r="O37" s="155">
        <v>1</v>
      </c>
      <c r="P37" s="191"/>
      <c r="Q37" s="256" t="s">
        <v>102</v>
      </c>
      <c r="R37" s="156"/>
      <c r="S37" s="159"/>
      <c r="T37" s="249"/>
      <c r="U37" s="157"/>
      <c r="V37" s="158"/>
      <c r="W37" s="159"/>
      <c r="X37" s="158">
        <v>195.25</v>
      </c>
      <c r="Y37" s="159">
        <v>1196725</v>
      </c>
      <c r="Z37" s="158"/>
      <c r="AA37" s="160"/>
      <c r="AB37" s="152">
        <f t="shared" si="6"/>
        <v>0</v>
      </c>
      <c r="AD37" s="153"/>
      <c r="AE37" s="154" t="str">
        <f>VLOOKUP(B37,要員対応表!$B$4:$D$106,3,FALSE)</f>
        <v>伊藤　繁</v>
      </c>
    </row>
    <row r="38" spans="1:31" s="144" customFormat="1" ht="14.25" customHeight="1">
      <c r="A38" s="181"/>
      <c r="B38" s="145" t="s">
        <v>108</v>
      </c>
      <c r="C38" s="146">
        <f t="shared" si="0"/>
        <v>202.5</v>
      </c>
      <c r="D38" s="147">
        <f t="shared" si="7"/>
        <v>12.5</v>
      </c>
      <c r="E38" s="148">
        <f>VLOOKUP(B38,要員対応表!$B$4:$Y$51,9,FALSE)*K38</f>
        <v>1150000</v>
      </c>
      <c r="F38" s="149">
        <f>IF(D38&gt;0,ROUND(D38*VLOOKUP(B38,要員対応表!$B$4:$Y$51,11,FALSE),0),ROUND(D38*VLOOKUP(B38,要員対応表!$B$4:$Y$51,10,FALSE),0))</f>
        <v>111250</v>
      </c>
      <c r="G38" s="150">
        <f t="shared" ref="G38:G41" si="24">E38+F38</f>
        <v>1261250</v>
      </c>
      <c r="H38" s="150">
        <f t="shared" si="3"/>
        <v>0</v>
      </c>
      <c r="I38" s="218">
        <f t="shared" si="4"/>
        <v>1261250</v>
      </c>
      <c r="J38" s="151">
        <f t="shared" si="5"/>
        <v>0</v>
      </c>
      <c r="K38" s="263">
        <v>1</v>
      </c>
      <c r="L38" s="267"/>
      <c r="M38" s="251"/>
      <c r="N38" s="155"/>
      <c r="O38" s="155">
        <v>1</v>
      </c>
      <c r="P38" s="191"/>
      <c r="Q38" s="256" t="s">
        <v>108</v>
      </c>
      <c r="R38" s="156"/>
      <c r="S38" s="159"/>
      <c r="T38" s="249"/>
      <c r="U38" s="157"/>
      <c r="V38" s="158"/>
      <c r="W38" s="159"/>
      <c r="X38" s="158">
        <v>202.5</v>
      </c>
      <c r="Y38" s="159">
        <v>1261250</v>
      </c>
      <c r="Z38" s="158"/>
      <c r="AA38" s="160"/>
      <c r="AB38" s="152">
        <f t="shared" si="6"/>
        <v>0</v>
      </c>
      <c r="AD38" s="153"/>
      <c r="AE38" s="154" t="str">
        <f>VLOOKUP(B38,要員対応表!$B$4:$D$106,3,FALSE)</f>
        <v>片桐　清穂</v>
      </c>
    </row>
    <row r="39" spans="1:31" s="144" customFormat="1" ht="14.25" customHeight="1">
      <c r="A39" s="181"/>
      <c r="B39" s="145" t="s">
        <v>120</v>
      </c>
      <c r="C39" s="146">
        <f t="shared" si="0"/>
        <v>175.75</v>
      </c>
      <c r="D39" s="147">
        <f t="shared" si="7"/>
        <v>0</v>
      </c>
      <c r="E39" s="148">
        <f>VLOOKUP(B39,要員対応表!$B$4:$Y$51,9,FALSE)*K39</f>
        <v>1150000</v>
      </c>
      <c r="F39" s="149">
        <f>IF(D39&gt;0,ROUND(D39*VLOOKUP(B39,要員対応表!$B$4:$Y$51,11,FALSE),0),ROUND(D39*VLOOKUP(B39,要員対応表!$B$4:$Y$51,10,FALSE),0))</f>
        <v>0</v>
      </c>
      <c r="G39" s="150">
        <f t="shared" si="24"/>
        <v>1150000</v>
      </c>
      <c r="H39" s="150">
        <f t="shared" si="3"/>
        <v>0</v>
      </c>
      <c r="I39" s="218">
        <f t="shared" si="4"/>
        <v>1150000</v>
      </c>
      <c r="J39" s="151">
        <f t="shared" si="5"/>
        <v>0</v>
      </c>
      <c r="K39" s="263">
        <v>1</v>
      </c>
      <c r="L39" s="267"/>
      <c r="M39" s="251"/>
      <c r="N39" s="155"/>
      <c r="O39" s="155">
        <v>1</v>
      </c>
      <c r="P39" s="191"/>
      <c r="Q39" s="256" t="s">
        <v>120</v>
      </c>
      <c r="R39" s="156"/>
      <c r="S39" s="157"/>
      <c r="T39" s="158"/>
      <c r="U39" s="157"/>
      <c r="V39" s="158"/>
      <c r="W39" s="159"/>
      <c r="X39" s="158">
        <v>175.75</v>
      </c>
      <c r="Y39" s="159">
        <v>1150000</v>
      </c>
      <c r="Z39" s="158"/>
      <c r="AA39" s="160"/>
      <c r="AB39" s="152">
        <f t="shared" si="6"/>
        <v>0</v>
      </c>
      <c r="AD39" s="153"/>
      <c r="AE39" s="154" t="str">
        <f>VLOOKUP(B39,要員対応表!$B$4:$D$106,3,FALSE)</f>
        <v>高橋　健伍</v>
      </c>
    </row>
    <row r="40" spans="1:31" s="144" customFormat="1" ht="14.25" customHeight="1">
      <c r="A40" s="181"/>
      <c r="B40" s="145" t="s">
        <v>177</v>
      </c>
      <c r="C40" s="146">
        <f t="shared" si="0"/>
        <v>165</v>
      </c>
      <c r="D40" s="147">
        <f t="shared" si="7"/>
        <v>0</v>
      </c>
      <c r="E40" s="148">
        <f>VLOOKUP(B40,要員対応表!$B$4:$Y$51,9,FALSE)*K40</f>
        <v>1150000</v>
      </c>
      <c r="F40" s="149">
        <f>IF(D40&gt;0,ROUND(D40*VLOOKUP(B40,要員対応表!$B$4:$Y$51,11,FALSE),0),ROUND(D40*VLOOKUP(B40,要員対応表!$B$4:$Y$51,10,FALSE),0))</f>
        <v>0</v>
      </c>
      <c r="G40" s="150">
        <f t="shared" si="24"/>
        <v>1150000</v>
      </c>
      <c r="H40" s="150">
        <f t="shared" si="3"/>
        <v>0</v>
      </c>
      <c r="I40" s="218">
        <f t="shared" si="4"/>
        <v>1150000</v>
      </c>
      <c r="J40" s="151">
        <f t="shared" si="5"/>
        <v>0</v>
      </c>
      <c r="K40" s="263">
        <v>1</v>
      </c>
      <c r="L40" s="267"/>
      <c r="M40" s="251"/>
      <c r="N40" s="155"/>
      <c r="O40" s="155">
        <v>1</v>
      </c>
      <c r="P40" s="191"/>
      <c r="Q40" s="256" t="s">
        <v>177</v>
      </c>
      <c r="R40" s="156"/>
      <c r="S40" s="157"/>
      <c r="T40" s="158"/>
      <c r="U40" s="157"/>
      <c r="V40" s="158"/>
      <c r="W40" s="159"/>
      <c r="X40" s="158">
        <v>165</v>
      </c>
      <c r="Y40" s="159">
        <v>1150000</v>
      </c>
      <c r="Z40" s="158"/>
      <c r="AA40" s="160"/>
      <c r="AB40" s="152">
        <f t="shared" si="6"/>
        <v>0</v>
      </c>
      <c r="AD40" s="153"/>
      <c r="AE40" s="154" t="str">
        <f>VLOOKUP(B40,要員対応表!$B$4:$D$106,3,FALSE)</f>
        <v>数藤　智志</v>
      </c>
    </row>
    <row r="41" spans="1:31" s="144" customFormat="1" ht="14.25" customHeight="1" thickBot="1">
      <c r="A41" s="181"/>
      <c r="B41" s="145" t="s">
        <v>187</v>
      </c>
      <c r="C41" s="146">
        <f t="shared" si="0"/>
        <v>148.75</v>
      </c>
      <c r="D41" s="147">
        <f t="shared" si="7"/>
        <v>0</v>
      </c>
      <c r="E41" s="148">
        <f>VLOOKUP(B41,要員対応表!$B$4:$Y$51,9,FALSE)*K41</f>
        <v>1200000</v>
      </c>
      <c r="F41" s="149">
        <f>IF(D41&gt;0,ROUND(D41*VLOOKUP(B41,要員対応表!$B$4:$Y$51,11,FALSE),0),ROUND(D41*VLOOKUP(B41,要員対応表!$B$4:$Y$51,10,FALSE),0))</f>
        <v>0</v>
      </c>
      <c r="G41" s="150">
        <f t="shared" si="24"/>
        <v>1200000</v>
      </c>
      <c r="H41" s="165">
        <f t="shared" si="3"/>
        <v>0</v>
      </c>
      <c r="I41" s="219">
        <f t="shared" si="4"/>
        <v>1200000</v>
      </c>
      <c r="J41" s="166">
        <f t="shared" si="5"/>
        <v>0</v>
      </c>
      <c r="K41" s="263">
        <v>1</v>
      </c>
      <c r="L41" s="267"/>
      <c r="M41" s="251"/>
      <c r="N41" s="155">
        <v>1</v>
      </c>
      <c r="O41" s="155"/>
      <c r="P41" s="191"/>
      <c r="Q41" s="258" t="s">
        <v>187</v>
      </c>
      <c r="R41" s="259"/>
      <c r="S41" s="167"/>
      <c r="T41" s="168"/>
      <c r="U41" s="167"/>
      <c r="V41" s="168">
        <v>148.75</v>
      </c>
      <c r="W41" s="169">
        <v>1200000</v>
      </c>
      <c r="X41" s="168"/>
      <c r="Y41" s="169"/>
      <c r="Z41" s="168"/>
      <c r="AA41" s="170"/>
      <c r="AB41" s="152">
        <f t="shared" si="6"/>
        <v>0</v>
      </c>
      <c r="AD41" s="153"/>
      <c r="AE41" s="154" t="str">
        <f>VLOOKUP(B41,要員対応表!$B$4:$D$106,3,FALSE)</f>
        <v>藤本　裕作</v>
      </c>
    </row>
    <row r="42" spans="1:31" ht="19.8" thickTop="1" thickBot="1">
      <c r="B42" s="127" t="s">
        <v>30</v>
      </c>
      <c r="C42" s="128">
        <v>-1</v>
      </c>
      <c r="D42" s="129"/>
      <c r="E42" s="129"/>
      <c r="F42" s="130"/>
      <c r="G42" s="131">
        <f>SUM(G13:G41)</f>
        <v>29207975</v>
      </c>
      <c r="H42" s="234">
        <f>SUM(H13:H41)</f>
        <v>2800000</v>
      </c>
      <c r="I42" s="235">
        <f>SUM(I13:I41)</f>
        <v>24307975</v>
      </c>
      <c r="J42" s="236">
        <f>SUM(J13:J41)</f>
        <v>2100000</v>
      </c>
      <c r="K42" s="265" t="s">
        <v>30</v>
      </c>
      <c r="L42" s="269">
        <f>SUM(L13:L41)</f>
        <v>1.5</v>
      </c>
      <c r="M42" s="253">
        <f>SUM(M13:M41)</f>
        <v>1.5</v>
      </c>
      <c r="N42" s="189">
        <f>SUM(N13:N41)</f>
        <v>13</v>
      </c>
      <c r="O42" s="189">
        <f>SUM(O13:O41)</f>
        <v>11</v>
      </c>
      <c r="P42" s="193">
        <f>SUM(P13:P41)</f>
        <v>2</v>
      </c>
      <c r="Q42" s="137"/>
      <c r="R42" s="260">
        <f>SUM(R13:R41)</f>
        <v>386</v>
      </c>
      <c r="S42" s="238">
        <f t="shared" ref="S42" si="25">SUM(S13:S41)</f>
        <v>2168911</v>
      </c>
      <c r="T42" s="237">
        <f>SUM(T13:T41)</f>
        <v>111</v>
      </c>
      <c r="U42" s="238">
        <f t="shared" ref="U42" si="26">SUM(U13:U41)</f>
        <v>631089</v>
      </c>
      <c r="V42" s="230">
        <f>SUM(V13:V41)</f>
        <v>2032.5</v>
      </c>
      <c r="W42" s="231">
        <f t="shared" ref="W42:AA42" si="27">SUM(W13:W41)</f>
        <v>12950000</v>
      </c>
      <c r="X42" s="230">
        <f t="shared" si="27"/>
        <v>1886.25</v>
      </c>
      <c r="Y42" s="231">
        <f t="shared" si="27"/>
        <v>11357975</v>
      </c>
      <c r="Z42" s="232">
        <f t="shared" si="27"/>
        <v>324.25</v>
      </c>
      <c r="AA42" s="233">
        <f t="shared" si="27"/>
        <v>2100000</v>
      </c>
      <c r="AB42" s="135">
        <f>G42-SUM(S42,U42,W42,Y42,AA42)</f>
        <v>0</v>
      </c>
    </row>
    <row r="43" spans="1:31" ht="8.1" customHeight="1">
      <c r="B43" s="5"/>
      <c r="C43" s="5"/>
      <c r="D43" s="5"/>
      <c r="E43" s="5"/>
      <c r="F43" s="5"/>
      <c r="G43" s="5"/>
      <c r="L43" s="5"/>
      <c r="M43" s="5"/>
      <c r="N43" s="5"/>
      <c r="O43" s="5"/>
      <c r="P43" s="5"/>
      <c r="Q43" s="5"/>
      <c r="R43" s="5"/>
      <c r="S43" s="5"/>
      <c r="T43" s="5"/>
      <c r="U43" s="5"/>
      <c r="V43" s="5"/>
      <c r="W43" s="5"/>
      <c r="X43" s="5"/>
      <c r="Y43" s="5"/>
      <c r="Z43" s="5"/>
      <c r="AA43" s="5"/>
      <c r="AB43" s="5"/>
      <c r="AC43" s="5"/>
    </row>
    <row r="44" spans="1:31" ht="15.6" thickBot="1">
      <c r="B44" s="1" t="s">
        <v>67</v>
      </c>
    </row>
    <row r="45" spans="1:31" ht="30.6" thickBot="1">
      <c r="B45" s="17" t="s">
        <v>68</v>
      </c>
      <c r="C45" s="18"/>
      <c r="D45" s="18"/>
      <c r="E45" s="18"/>
      <c r="F45" s="18"/>
      <c r="G45" s="133"/>
      <c r="H45" s="241" t="str">
        <f>C4</f>
        <v>ソフトウェア技術部</v>
      </c>
      <c r="I45" s="244" t="str">
        <f>E4</f>
        <v>ソフトウェア基盤技術部</v>
      </c>
      <c r="J45" s="245" t="str">
        <f>G4</f>
        <v>ソフトウェア戦略推進部</v>
      </c>
    </row>
    <row r="46" spans="1:31" s="144" customFormat="1" ht="13.8" thickTop="1">
      <c r="B46" s="171" t="s">
        <v>83</v>
      </c>
      <c r="C46" s="172"/>
      <c r="D46" s="172"/>
      <c r="E46" s="172"/>
      <c r="F46" s="172"/>
      <c r="G46" s="173"/>
      <c r="H46" s="174">
        <f>'24年4月'!Z7</f>
        <v>0</v>
      </c>
      <c r="I46" s="222">
        <f>'24年4月'!$AG$7</f>
        <v>0</v>
      </c>
      <c r="J46" s="221">
        <f>'24年4月'!$AN$7</f>
        <v>0</v>
      </c>
    </row>
    <row r="47" spans="1:31" ht="8.1" customHeight="1"/>
  </sheetData>
  <mergeCells count="25">
    <mergeCell ref="G4:H4"/>
    <mergeCell ref="G5:H5"/>
    <mergeCell ref="G6:H6"/>
    <mergeCell ref="T10:U11"/>
    <mergeCell ref="R8:U9"/>
    <mergeCell ref="L11:M11"/>
    <mergeCell ref="I6:J6"/>
    <mergeCell ref="I4:J5"/>
    <mergeCell ref="B2:D2"/>
    <mergeCell ref="C6:D6"/>
    <mergeCell ref="E6:F6"/>
    <mergeCell ref="B4:B5"/>
    <mergeCell ref="C4:D4"/>
    <mergeCell ref="C5:D5"/>
    <mergeCell ref="E4:F4"/>
    <mergeCell ref="E5:F5"/>
    <mergeCell ref="AV4:AV5"/>
    <mergeCell ref="V8:Y9"/>
    <mergeCell ref="Z8:AA9"/>
    <mergeCell ref="K2:AA3"/>
    <mergeCell ref="N11:O11"/>
    <mergeCell ref="R10:S11"/>
    <mergeCell ref="V10:W11"/>
    <mergeCell ref="X10:Y11"/>
    <mergeCell ref="Z10:AA11"/>
  </mergeCells>
  <phoneticPr fontId="3"/>
  <conditionalFormatting sqref="AB13:AB42">
    <cfRule type="cellIs" dxfId="29" priority="31" operator="notEqual">
      <formula>0</formula>
    </cfRule>
  </conditionalFormatting>
  <conditionalFormatting sqref="R41:S41 Q39:S40 Q26:S34 B26:B41 B13:L13 E21:G41 B14:B20 V13:AA20 V26:AA41 N35:S38 N39:P41 N21:P34 N13:S20 D14:G20 D26:D41 C14:C41 H14:L41">
    <cfRule type="expression" dxfId="28" priority="29">
      <formula>MOD(ROW(),2)=0</formula>
    </cfRule>
  </conditionalFormatting>
  <conditionalFormatting sqref="B21:B25 R21:S25 V21:AA25">
    <cfRule type="expression" dxfId="27" priority="24">
      <formula>MOD(ROW(),2)=0</formula>
    </cfRule>
  </conditionalFormatting>
  <conditionalFormatting sqref="D25">
    <cfRule type="expression" dxfId="26" priority="22">
      <formula>MOD(ROW(),2)=0</formula>
    </cfRule>
  </conditionalFormatting>
  <conditionalFormatting sqref="Q41">
    <cfRule type="expression" dxfId="25" priority="15">
      <formula>MOD(ROW(),2)=0</formula>
    </cfRule>
  </conditionalFormatting>
  <conditionalFormatting sqref="Q21:Q25">
    <cfRule type="expression" dxfId="24" priority="13">
      <formula>MOD(ROW(),2)=0</formula>
    </cfRule>
  </conditionalFormatting>
  <conditionalFormatting sqref="D21">
    <cfRule type="expression" dxfId="23" priority="7">
      <formula>MOD(ROW(),2)=0</formula>
    </cfRule>
  </conditionalFormatting>
  <conditionalFormatting sqref="D24">
    <cfRule type="expression" dxfId="22" priority="6">
      <formula>MOD(ROW(),2)=0</formula>
    </cfRule>
  </conditionalFormatting>
  <conditionalFormatting sqref="D23">
    <cfRule type="expression" dxfId="21" priority="5">
      <formula>MOD(ROW(),2)=0</formula>
    </cfRule>
  </conditionalFormatting>
  <conditionalFormatting sqref="D22">
    <cfRule type="expression" dxfId="20" priority="4">
      <formula>MOD(ROW(),2)=0</formula>
    </cfRule>
  </conditionalFormatting>
  <conditionalFormatting sqref="T13:U20 T26:U41">
    <cfRule type="expression" dxfId="19" priority="3">
      <formula>MOD(ROW(),2)=0</formula>
    </cfRule>
  </conditionalFormatting>
  <conditionalFormatting sqref="T21:U25">
    <cfRule type="expression" dxfId="18" priority="2">
      <formula>MOD(ROW(),2)=0</formula>
    </cfRule>
  </conditionalFormatting>
  <conditionalFormatting sqref="M13:M41">
    <cfRule type="expression" dxfId="17" priority="1">
      <formula>MOD(ROW(),2)=0</formula>
    </cfRule>
  </conditionalFormatting>
  <dataValidations count="1">
    <dataValidation type="list" allowBlank="1" showInputMessage="1" showErrorMessage="1" sqref="L13:P41">
      <formula1>"0,0.5,1"</formula1>
    </dataValidation>
  </dataValidations>
  <pageMargins left="0.511811023622047" right="0.31496062992126" top="0.35433070866141703" bottom="0.35433070866141703" header="0.31496062992126" footer="0.31496062992126"/>
  <pageSetup paperSize="9" scale="56" fitToWidth="2" orientation="portrait" r:id="rId1"/>
  <drawing r:id="rId2"/>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Y55"/>
  <sheetViews>
    <sheetView view="pageBreakPreview" zoomScaleNormal="100" zoomScaleSheetLayoutView="100" workbookViewId="0"/>
  </sheetViews>
  <sheetFormatPr defaultColWidth="9" defaultRowHeight="15"/>
  <cols>
    <col min="1" max="1" width="2.6640625" style="1" customWidth="1"/>
    <col min="2" max="5" width="13.6640625" style="1" customWidth="1"/>
    <col min="6" max="11" width="14.6640625" style="1" customWidth="1"/>
    <col min="12" max="19" width="7.6640625" style="1" customWidth="1"/>
    <col min="20" max="20" width="11.109375" style="1" customWidth="1"/>
    <col min="21" max="23" width="14.6640625" style="1" customWidth="1"/>
    <col min="24" max="24" width="2.6640625" style="1" customWidth="1"/>
    <col min="25" max="25" width="14" style="1" customWidth="1"/>
    <col min="26" max="27" width="12.6640625" style="1" customWidth="1"/>
    <col min="28" max="16384" width="9" style="1"/>
  </cols>
  <sheetData>
    <row r="1" spans="1:25" ht="8.1" customHeight="1"/>
    <row r="2" spans="1:25" ht="22.8">
      <c r="B2" s="292">
        <v>44287</v>
      </c>
      <c r="C2" s="292"/>
      <c r="D2" s="292"/>
      <c r="U2" s="2" t="s">
        <v>28</v>
      </c>
    </row>
    <row r="3" spans="1:25" ht="15" customHeight="1" thickBot="1"/>
    <row r="4" spans="1:25" ht="15.6" thickTop="1">
      <c r="B4" s="321" t="s">
        <v>71</v>
      </c>
      <c r="C4" s="324" t="s">
        <v>73</v>
      </c>
      <c r="D4" s="324"/>
      <c r="E4" s="55" t="s">
        <v>81</v>
      </c>
      <c r="F4" s="55"/>
      <c r="G4" s="55"/>
      <c r="H4" s="55"/>
      <c r="I4" s="55"/>
      <c r="J4" s="55"/>
      <c r="K4" s="55"/>
      <c r="L4" s="55"/>
      <c r="M4" s="55"/>
      <c r="N4" s="55"/>
      <c r="O4" s="55"/>
      <c r="P4" s="55"/>
      <c r="Q4" s="55"/>
      <c r="R4" s="55"/>
      <c r="S4" s="55"/>
      <c r="T4" s="55"/>
      <c r="U4" s="39" t="s">
        <v>77</v>
      </c>
      <c r="V4" s="274" t="s">
        <v>70</v>
      </c>
    </row>
    <row r="5" spans="1:25">
      <c r="B5" s="322"/>
      <c r="C5" s="326" t="s">
        <v>78</v>
      </c>
      <c r="D5" s="326"/>
      <c r="U5" s="42" t="s">
        <v>79</v>
      </c>
      <c r="V5" s="275"/>
    </row>
    <row r="6" spans="1:25" ht="12" customHeight="1" thickBot="1">
      <c r="B6" s="323"/>
      <c r="C6" s="43" t="s">
        <v>80</v>
      </c>
      <c r="D6" s="43" t="s">
        <v>74</v>
      </c>
      <c r="U6" s="48" t="s">
        <v>80</v>
      </c>
      <c r="V6" s="325"/>
    </row>
    <row r="7" spans="1:25" ht="15.6" thickTop="1">
      <c r="B7" s="327" t="s">
        <v>35</v>
      </c>
      <c r="C7" s="49" t="e">
        <f>U49</f>
        <v>#N/A</v>
      </c>
      <c r="D7" s="50" t="e">
        <f>V49</f>
        <v>#N/A</v>
      </c>
      <c r="U7" s="329" t="e">
        <f>W49</f>
        <v>#N/A</v>
      </c>
      <c r="V7" s="331" t="e">
        <f>SUM(C7,D7,U7)</f>
        <v>#N/A</v>
      </c>
    </row>
    <row r="8" spans="1:25" ht="15.6" thickBot="1">
      <c r="B8" s="328"/>
      <c r="C8" s="333" t="e">
        <f>SUM(C7:D7)</f>
        <v>#N/A</v>
      </c>
      <c r="D8" s="333"/>
      <c r="U8" s="330"/>
      <c r="V8" s="332"/>
    </row>
    <row r="9" spans="1:25" ht="8.1" customHeight="1" thickTop="1">
      <c r="A9" s="23"/>
      <c r="B9" s="24"/>
      <c r="C9" s="24"/>
      <c r="D9" s="24"/>
      <c r="U9" s="23"/>
      <c r="V9" s="23"/>
      <c r="W9" s="23"/>
      <c r="X9" s="23"/>
    </row>
    <row r="10" spans="1:25" ht="8.1" customHeight="1">
      <c r="A10" s="25"/>
      <c r="B10" s="26"/>
      <c r="C10" s="26"/>
      <c r="D10" s="26"/>
      <c r="U10" s="25"/>
      <c r="V10" s="25"/>
      <c r="W10" s="25"/>
      <c r="X10" s="25"/>
    </row>
    <row r="11" spans="1:25">
      <c r="B11" s="1" t="s">
        <v>25</v>
      </c>
      <c r="C11" s="21">
        <v>21</v>
      </c>
    </row>
    <row r="12" spans="1:25" ht="16.2">
      <c r="B12" s="1" t="s">
        <v>26</v>
      </c>
      <c r="C12" s="3">
        <f>C11*8-30</f>
        <v>138</v>
      </c>
      <c r="D12" s="4" t="s">
        <v>24</v>
      </c>
      <c r="U12" s="3">
        <f>C11*8+30</f>
        <v>198</v>
      </c>
    </row>
    <row r="13" spans="1:25" ht="8.1" customHeight="1"/>
    <row r="14" spans="1:25">
      <c r="B14" s="1" t="s">
        <v>82</v>
      </c>
      <c r="E14" s="55" t="s">
        <v>81</v>
      </c>
      <c r="F14" s="55"/>
      <c r="G14" s="55"/>
      <c r="H14" s="55"/>
      <c r="I14" s="317" t="s">
        <v>84</v>
      </c>
      <c r="J14" s="317"/>
      <c r="K14" s="317"/>
      <c r="L14" s="318" t="s">
        <v>87</v>
      </c>
      <c r="M14" s="318"/>
      <c r="N14" s="319"/>
      <c r="O14" s="318" t="s">
        <v>88</v>
      </c>
      <c r="P14" s="319"/>
      <c r="Q14" s="320" t="s">
        <v>77</v>
      </c>
      <c r="R14" s="320"/>
      <c r="S14" s="320"/>
      <c r="T14" s="78"/>
    </row>
    <row r="15" spans="1:25" ht="23.4" thickBot="1">
      <c r="B15" s="15" t="s">
        <v>21</v>
      </c>
      <c r="C15" s="27" t="s">
        <v>22</v>
      </c>
      <c r="D15" s="16" t="s">
        <v>23</v>
      </c>
      <c r="E15" s="53" t="s">
        <v>19</v>
      </c>
      <c r="F15" s="54" t="s">
        <v>20</v>
      </c>
      <c r="G15" s="71" t="s">
        <v>29</v>
      </c>
      <c r="H15" s="80" t="s">
        <v>94</v>
      </c>
      <c r="I15" s="72" t="s">
        <v>85</v>
      </c>
      <c r="J15" s="72" t="s">
        <v>86</v>
      </c>
      <c r="K15" s="73" t="s">
        <v>75</v>
      </c>
      <c r="L15" s="72" t="s">
        <v>90</v>
      </c>
      <c r="M15" s="72"/>
      <c r="N15" s="72" t="s">
        <v>92</v>
      </c>
      <c r="O15" s="72" t="s">
        <v>89</v>
      </c>
      <c r="P15" s="76" t="s">
        <v>91</v>
      </c>
      <c r="Q15" s="76" t="s">
        <v>89</v>
      </c>
      <c r="R15" s="76"/>
      <c r="S15" s="77" t="s">
        <v>92</v>
      </c>
      <c r="T15" s="79" t="s">
        <v>93</v>
      </c>
      <c r="U15" s="60" t="s">
        <v>73</v>
      </c>
      <c r="V15" s="41" t="s">
        <v>76</v>
      </c>
      <c r="W15" s="40" t="s">
        <v>75</v>
      </c>
      <c r="Y15" s="9" t="s">
        <v>31</v>
      </c>
    </row>
    <row r="16" spans="1:25" s="31" customFormat="1" thickTop="1">
      <c r="B16" s="29" t="s">
        <v>58</v>
      </c>
      <c r="C16" s="69">
        <f>SUM(I16:K16)</f>
        <v>205.75</v>
      </c>
      <c r="D16" s="10">
        <f t="shared" ref="D16:D48" si="0">IF(C16&lt;=$C$12,C16-$C$12,IF($U$12&lt;C16,C16-$U$12,0))</f>
        <v>7.75</v>
      </c>
      <c r="E16" s="44" t="e">
        <f>VLOOKUP(B16,要員対応表!$B$7:$Y$51,9,FALSE)</f>
        <v>#N/A</v>
      </c>
      <c r="F16" s="11" t="e">
        <f>IF(D16&gt;0,ROUND(D16*VLOOKUP(B16,要員対応表!$B$7:$Y$51,11,FALSE),0),ROUND(D16*VLOOKUP(B16,要員対応表!$B$7:$Y$51,10,FALSE),0))</f>
        <v>#N/A</v>
      </c>
      <c r="G16" s="61" t="e">
        <f>E16+F16</f>
        <v>#N/A</v>
      </c>
      <c r="H16" s="58"/>
      <c r="I16" s="69">
        <f t="shared" ref="I16:I47" si="1">H16-J16</f>
        <v>0</v>
      </c>
      <c r="J16" s="74"/>
      <c r="K16" s="75">
        <v>205.75</v>
      </c>
      <c r="L16" s="83">
        <v>0</v>
      </c>
      <c r="M16" s="84"/>
      <c r="N16" s="84">
        <v>0</v>
      </c>
      <c r="O16" s="85">
        <v>0</v>
      </c>
      <c r="P16" s="86">
        <v>0</v>
      </c>
      <c r="Q16" s="86">
        <v>160</v>
      </c>
      <c r="R16" s="86"/>
      <c r="S16" s="87">
        <f>D16</f>
        <v>7.75</v>
      </c>
      <c r="T16" s="81" t="e">
        <f>G16-SUM(U16,V16,W16)</f>
        <v>#N/A</v>
      </c>
      <c r="U16" s="61" t="e">
        <f t="shared" ref="U16:U47" si="2">IF(D16=0,L16*$E16/160,L16*$E16/160+$F16/$D16*N16)</f>
        <v>#N/A</v>
      </c>
      <c r="V16" s="12" t="e">
        <f t="shared" ref="V16:V47" si="3">IF(F16=0,O16*$E16/160,O16*$E16/160+$F16/$D16*P16)</f>
        <v>#N/A</v>
      </c>
      <c r="W16" s="12" t="e">
        <f t="shared" ref="W16:W47" si="4">IF(F16=0,Q16*$E16/160,Q16*$E16/160+$F16/$D16*S16)</f>
        <v>#N/A</v>
      </c>
      <c r="X16" s="32"/>
      <c r="Y16" s="33" t="e">
        <f>VLOOKUP(B16,要員対応表!$B$7:$D$106,3,FALSE)</f>
        <v>#N/A</v>
      </c>
    </row>
    <row r="17" spans="2:25" s="31" customFormat="1" ht="14.4">
      <c r="B17" s="29" t="s">
        <v>11</v>
      </c>
      <c r="C17" s="69">
        <f t="shared" ref="C17:C48" si="5">SUM(I17:K17)</f>
        <v>171.25</v>
      </c>
      <c r="D17" s="10">
        <f t="shared" si="0"/>
        <v>0</v>
      </c>
      <c r="E17" s="44" t="e">
        <f>VLOOKUP(B17,要員対応表!$B$7:$Y$51,9,FALSE)</f>
        <v>#N/A</v>
      </c>
      <c r="F17" s="11" t="e">
        <f>IF(D17&gt;0,ROUND(D17*VLOOKUP(B17,要員対応表!$B$7:$Y$51,11,FALSE),0),ROUND(D17*VLOOKUP(B17,要員対応表!$B$7:$Y$51,10,FALSE),0))</f>
        <v>#N/A</v>
      </c>
      <c r="G17" s="61" t="e">
        <f t="shared" ref="G17:G23" si="6">E17+F17</f>
        <v>#N/A</v>
      </c>
      <c r="H17" s="58"/>
      <c r="I17" s="69">
        <f t="shared" si="1"/>
        <v>0</v>
      </c>
      <c r="J17" s="74"/>
      <c r="K17" s="75">
        <v>171.25</v>
      </c>
      <c r="L17" s="83">
        <v>0</v>
      </c>
      <c r="M17" s="84"/>
      <c r="N17" s="84">
        <v>0</v>
      </c>
      <c r="O17" s="85">
        <v>0</v>
      </c>
      <c r="P17" s="86">
        <v>0</v>
      </c>
      <c r="Q17" s="86">
        <v>160</v>
      </c>
      <c r="R17" s="86"/>
      <c r="S17" s="87">
        <f>D17</f>
        <v>0</v>
      </c>
      <c r="T17" s="81" t="e">
        <f t="shared" ref="T17:T47" si="7">G17-SUM(U17,V17,W17)</f>
        <v>#N/A</v>
      </c>
      <c r="U17" s="61" t="e">
        <f t="shared" si="2"/>
        <v>#N/A</v>
      </c>
      <c r="V17" s="12" t="e">
        <f t="shared" si="3"/>
        <v>#N/A</v>
      </c>
      <c r="W17" s="12" t="e">
        <f t="shared" si="4"/>
        <v>#N/A</v>
      </c>
      <c r="X17" s="32"/>
      <c r="Y17" s="33" t="e">
        <f>VLOOKUP(B17,要員対応表!$B$7:$D$106,3,FALSE)</f>
        <v>#N/A</v>
      </c>
    </row>
    <row r="18" spans="2:25" s="31" customFormat="1" ht="14.4">
      <c r="B18" s="29" t="s">
        <v>9</v>
      </c>
      <c r="C18" s="69">
        <f t="shared" si="5"/>
        <v>203.25</v>
      </c>
      <c r="D18" s="10">
        <f t="shared" si="0"/>
        <v>5.25</v>
      </c>
      <c r="E18" s="44" t="e">
        <f>VLOOKUP(B18,要員対応表!$B$7:$Y$51,9,FALSE)</f>
        <v>#N/A</v>
      </c>
      <c r="F18" s="11" t="e">
        <f>IF(D18&gt;0,ROUND(D18*VLOOKUP(B18,要員対応表!$B$7:$Y$51,11,FALSE),0),ROUND(D18*VLOOKUP(B18,要員対応表!$B$7:$Y$51,10,FALSE),0))</f>
        <v>#N/A</v>
      </c>
      <c r="G18" s="61" t="e">
        <f t="shared" si="6"/>
        <v>#N/A</v>
      </c>
      <c r="H18" s="58">
        <v>203.25</v>
      </c>
      <c r="I18" s="69">
        <f t="shared" si="1"/>
        <v>152.25</v>
      </c>
      <c r="J18" s="74">
        <v>51</v>
      </c>
      <c r="K18" s="75"/>
      <c r="L18" s="88">
        <f>160-O18</f>
        <v>114.25</v>
      </c>
      <c r="M18" s="112"/>
      <c r="N18" s="84">
        <v>0</v>
      </c>
      <c r="O18" s="98">
        <f>J18-P18</f>
        <v>45.75</v>
      </c>
      <c r="P18" s="99">
        <f>D18</f>
        <v>5.25</v>
      </c>
      <c r="Q18" s="86">
        <v>0</v>
      </c>
      <c r="R18" s="86"/>
      <c r="S18" s="87">
        <v>0</v>
      </c>
      <c r="T18" s="81" t="e">
        <f t="shared" si="7"/>
        <v>#N/A</v>
      </c>
      <c r="U18" s="61" t="e">
        <f t="shared" si="2"/>
        <v>#N/A</v>
      </c>
      <c r="V18" s="12" t="e">
        <f t="shared" si="3"/>
        <v>#N/A</v>
      </c>
      <c r="W18" s="12" t="e">
        <f t="shared" si="4"/>
        <v>#N/A</v>
      </c>
      <c r="X18" s="32"/>
      <c r="Y18" s="33" t="e">
        <f>VLOOKUP(B18,要員対応表!$B$7:$D$106,3,FALSE)</f>
        <v>#N/A</v>
      </c>
    </row>
    <row r="19" spans="2:25" s="31" customFormat="1" ht="14.4">
      <c r="B19" s="29" t="s">
        <v>14</v>
      </c>
      <c r="C19" s="69">
        <f t="shared" si="5"/>
        <v>193.25</v>
      </c>
      <c r="D19" s="10">
        <f t="shared" si="0"/>
        <v>0</v>
      </c>
      <c r="E19" s="44">
        <f>VLOOKUP(B19,要員対応表!$B$7:$Y$51,9,FALSE)</f>
        <v>900000</v>
      </c>
      <c r="F19" s="11">
        <f>IF(D19&gt;0,ROUND(D19*VLOOKUP(B19,要員対応表!$B$7:$Y$51,11,FALSE),0),ROUND(D19*VLOOKUP(B19,要員対応表!$B$7:$Y$51,10,FALSE),0))</f>
        <v>0</v>
      </c>
      <c r="G19" s="61">
        <f t="shared" si="6"/>
        <v>900000</v>
      </c>
      <c r="H19" s="58">
        <v>193.25</v>
      </c>
      <c r="I19" s="69">
        <f t="shared" si="1"/>
        <v>193.25</v>
      </c>
      <c r="J19" s="74"/>
      <c r="K19" s="75"/>
      <c r="L19" s="88">
        <f>160-O19</f>
        <v>160</v>
      </c>
      <c r="M19" s="112"/>
      <c r="N19" s="84">
        <f>D19</f>
        <v>0</v>
      </c>
      <c r="O19" s="85">
        <v>0</v>
      </c>
      <c r="P19" s="86">
        <v>0</v>
      </c>
      <c r="Q19" s="86">
        <v>0</v>
      </c>
      <c r="R19" s="86"/>
      <c r="S19" s="87">
        <v>0</v>
      </c>
      <c r="T19" s="81">
        <f t="shared" si="7"/>
        <v>0</v>
      </c>
      <c r="U19" s="61">
        <f t="shared" si="2"/>
        <v>900000</v>
      </c>
      <c r="V19" s="12">
        <f t="shared" si="3"/>
        <v>0</v>
      </c>
      <c r="W19" s="12">
        <f t="shared" si="4"/>
        <v>0</v>
      </c>
      <c r="X19" s="32"/>
      <c r="Y19" s="33" t="str">
        <f>VLOOKUP(B19,要員対応表!$B$7:$D$106,3,FALSE)</f>
        <v>八百板　悠平</v>
      </c>
    </row>
    <row r="20" spans="2:25" s="31" customFormat="1" ht="14.4">
      <c r="B20" s="29" t="s">
        <v>12</v>
      </c>
      <c r="C20" s="69">
        <f t="shared" si="5"/>
        <v>182.25</v>
      </c>
      <c r="D20" s="10">
        <f t="shared" si="0"/>
        <v>0</v>
      </c>
      <c r="E20" s="44">
        <f>VLOOKUP(B20,要員対応表!$B$7:$Y$51,9,FALSE)</f>
        <v>900000</v>
      </c>
      <c r="F20" s="11">
        <f>IF(D20&gt;0,ROUND(D20*VLOOKUP(B20,要員対応表!$B$7:$Y$51,11,FALSE),0),ROUND(D20*VLOOKUP(B20,要員対応表!$B$7:$Y$51,10,FALSE),0))</f>
        <v>0</v>
      </c>
      <c r="G20" s="61">
        <f t="shared" si="6"/>
        <v>900000</v>
      </c>
      <c r="H20" s="58">
        <v>9.25</v>
      </c>
      <c r="I20" s="69">
        <f t="shared" si="1"/>
        <v>0</v>
      </c>
      <c r="J20" s="74">
        <v>9.25</v>
      </c>
      <c r="K20" s="75">
        <v>173</v>
      </c>
      <c r="L20" s="83">
        <v>0</v>
      </c>
      <c r="M20" s="84"/>
      <c r="N20" s="84">
        <v>0</v>
      </c>
      <c r="O20" s="97">
        <f>H20</f>
        <v>9.25</v>
      </c>
      <c r="P20" s="86">
        <v>0</v>
      </c>
      <c r="Q20" s="90">
        <f>160-O20</f>
        <v>150.75</v>
      </c>
      <c r="R20" s="90"/>
      <c r="S20" s="87">
        <v>0</v>
      </c>
      <c r="T20" s="81">
        <f t="shared" si="7"/>
        <v>0</v>
      </c>
      <c r="U20" s="61">
        <f t="shared" si="2"/>
        <v>0</v>
      </c>
      <c r="V20" s="12">
        <f t="shared" si="3"/>
        <v>52031.25</v>
      </c>
      <c r="W20" s="12">
        <f t="shared" si="4"/>
        <v>847968.75</v>
      </c>
      <c r="X20" s="32"/>
      <c r="Y20" s="33" t="str">
        <f>VLOOKUP(B20,要員対応表!$B$7:$D$106,3,FALSE)</f>
        <v>堀沢 翔太</v>
      </c>
    </row>
    <row r="21" spans="2:25" s="31" customFormat="1" ht="14.4">
      <c r="B21" s="29" t="s">
        <v>6</v>
      </c>
      <c r="C21" s="69">
        <f t="shared" si="5"/>
        <v>166</v>
      </c>
      <c r="D21" s="10">
        <f t="shared" si="0"/>
        <v>0</v>
      </c>
      <c r="E21" s="44">
        <f>VLOOKUP(B21,要員対応表!$B$7:$Y$51,9,FALSE)</f>
        <v>900000</v>
      </c>
      <c r="F21" s="11">
        <f>IF(D21&gt;0,ROUND(D21*VLOOKUP(B21,要員対応表!$B$7:$Y$51,11,FALSE),0),ROUND(D21*VLOOKUP(B21,要員対応表!$B$7:$Y$51,10,FALSE),0))</f>
        <v>0</v>
      </c>
      <c r="G21" s="61">
        <f>E21+F21</f>
        <v>900000</v>
      </c>
      <c r="H21" s="58">
        <v>166</v>
      </c>
      <c r="I21" s="69">
        <f t="shared" si="1"/>
        <v>166</v>
      </c>
      <c r="J21" s="74"/>
      <c r="K21" s="75"/>
      <c r="L21" s="83">
        <v>160</v>
      </c>
      <c r="M21" s="84"/>
      <c r="N21" s="84">
        <f>D21</f>
        <v>0</v>
      </c>
      <c r="O21" s="85">
        <v>0</v>
      </c>
      <c r="P21" s="86">
        <v>0</v>
      </c>
      <c r="Q21" s="86">
        <v>0</v>
      </c>
      <c r="R21" s="86"/>
      <c r="S21" s="87">
        <v>0</v>
      </c>
      <c r="T21" s="81">
        <f t="shared" si="7"/>
        <v>0</v>
      </c>
      <c r="U21" s="61">
        <f t="shared" si="2"/>
        <v>900000</v>
      </c>
      <c r="V21" s="12">
        <f t="shared" si="3"/>
        <v>0</v>
      </c>
      <c r="W21" s="12">
        <f t="shared" si="4"/>
        <v>0</v>
      </c>
      <c r="Y21" s="34" t="str">
        <f>VLOOKUP(B21,要員対応表!$B$7:$D$106,3,FALSE)</f>
        <v>浅川 和貴</v>
      </c>
    </row>
    <row r="22" spans="2:25" s="31" customFormat="1" ht="14.4">
      <c r="B22" s="35" t="s">
        <v>8</v>
      </c>
      <c r="C22" s="69">
        <f t="shared" si="5"/>
        <v>163.25</v>
      </c>
      <c r="D22" s="13">
        <f t="shared" si="0"/>
        <v>0</v>
      </c>
      <c r="E22" s="45">
        <f>VLOOKUP(B22,要員対応表!$B$7:$Y$51,9,FALSE)</f>
        <v>900000</v>
      </c>
      <c r="F22" s="14">
        <f>IF(D22&gt;0,ROUND(D22*VLOOKUP(B22,要員対応表!$B$7:$Y$51,11,FALSE),0),ROUND(D22*VLOOKUP(B22,要員対応表!$B$7:$Y$51,10,FALSE),0))</f>
        <v>0</v>
      </c>
      <c r="G22" s="62">
        <f t="shared" ref="G22" si="8">E22+F22</f>
        <v>900000</v>
      </c>
      <c r="H22" s="58">
        <v>163.25</v>
      </c>
      <c r="I22" s="69">
        <f t="shared" si="1"/>
        <v>163.25</v>
      </c>
      <c r="J22" s="74"/>
      <c r="K22" s="75"/>
      <c r="L22" s="83">
        <v>160</v>
      </c>
      <c r="M22" s="84"/>
      <c r="N22" s="84">
        <f>D22</f>
        <v>0</v>
      </c>
      <c r="O22" s="85">
        <v>0</v>
      </c>
      <c r="P22" s="86">
        <v>0</v>
      </c>
      <c r="Q22" s="86">
        <v>0</v>
      </c>
      <c r="R22" s="86"/>
      <c r="S22" s="87">
        <v>0</v>
      </c>
      <c r="T22" s="81">
        <f t="shared" si="7"/>
        <v>0</v>
      </c>
      <c r="U22" s="61">
        <f t="shared" si="2"/>
        <v>900000</v>
      </c>
      <c r="V22" s="12">
        <f t="shared" si="3"/>
        <v>0</v>
      </c>
      <c r="W22" s="12">
        <f t="shared" si="4"/>
        <v>0</v>
      </c>
      <c r="Y22" s="34" t="str">
        <f>VLOOKUP(B22,要員対応表!$B$7:$D$106,3,FALSE)</f>
        <v>重信 壱成</v>
      </c>
    </row>
    <row r="23" spans="2:25" s="31" customFormat="1" ht="14.4">
      <c r="B23" s="29" t="s">
        <v>7</v>
      </c>
      <c r="C23" s="69">
        <f t="shared" si="5"/>
        <v>179</v>
      </c>
      <c r="D23" s="10">
        <f t="shared" si="0"/>
        <v>0</v>
      </c>
      <c r="E23" s="44">
        <f>VLOOKUP(B23,要員対応表!$B$7:$Y$51,9,FALSE)</f>
        <v>900000</v>
      </c>
      <c r="F23" s="11">
        <f>IF(D23&gt;0,ROUND(D23*VLOOKUP(B23,要員対応表!$B$7:$Y$51,11,FALSE),0),ROUND(D23*VLOOKUP(B23,要員対応表!$B$7:$Y$51,10,FALSE),0))</f>
        <v>0</v>
      </c>
      <c r="G23" s="61">
        <f t="shared" si="6"/>
        <v>900000</v>
      </c>
      <c r="H23" s="58"/>
      <c r="I23" s="69">
        <f t="shared" si="1"/>
        <v>0</v>
      </c>
      <c r="J23" s="74"/>
      <c r="K23" s="75">
        <v>179</v>
      </c>
      <c r="L23" s="83">
        <v>0</v>
      </c>
      <c r="M23" s="84"/>
      <c r="N23" s="84">
        <v>0</v>
      </c>
      <c r="O23" s="85">
        <v>0</v>
      </c>
      <c r="P23" s="86">
        <v>0</v>
      </c>
      <c r="Q23" s="86">
        <v>160</v>
      </c>
      <c r="R23" s="86"/>
      <c r="S23" s="87">
        <f>D23</f>
        <v>0</v>
      </c>
      <c r="T23" s="81">
        <f t="shared" si="7"/>
        <v>0</v>
      </c>
      <c r="U23" s="61">
        <f t="shared" si="2"/>
        <v>0</v>
      </c>
      <c r="V23" s="12">
        <f t="shared" si="3"/>
        <v>0</v>
      </c>
      <c r="W23" s="12">
        <f t="shared" si="4"/>
        <v>900000</v>
      </c>
      <c r="X23" s="32"/>
      <c r="Y23" s="33" t="str">
        <f>VLOOKUP(B23,要員対応表!$B$7:$D$106,3,FALSE)</f>
        <v>スェ ジン ピュウ</v>
      </c>
    </row>
    <row r="24" spans="2:25" s="31" customFormat="1" ht="14.4">
      <c r="B24" s="35" t="s">
        <v>2</v>
      </c>
      <c r="C24" s="69">
        <f t="shared" si="5"/>
        <v>165.5</v>
      </c>
      <c r="D24" s="13">
        <f t="shared" si="0"/>
        <v>0</v>
      </c>
      <c r="E24" s="45" t="e">
        <f>VLOOKUP(B24,要員対応表!$B$7:$Y$51,9,FALSE)</f>
        <v>#N/A</v>
      </c>
      <c r="F24" s="14" t="e">
        <f>IF(D24&gt;0,ROUND(D24*VLOOKUP(B24,要員対応表!$B$7:$Y$51,11,FALSE),0),ROUND(D24*VLOOKUP(B24,要員対応表!$B$7:$Y$51,10,FALSE),0))</f>
        <v>#N/A</v>
      </c>
      <c r="G24" s="62" t="e">
        <f>E24+F24</f>
        <v>#N/A</v>
      </c>
      <c r="H24" s="58">
        <v>165.5</v>
      </c>
      <c r="I24" s="69">
        <f t="shared" si="1"/>
        <v>165.5</v>
      </c>
      <c r="J24" s="74"/>
      <c r="K24" s="75"/>
      <c r="L24" s="83">
        <v>160</v>
      </c>
      <c r="M24" s="84"/>
      <c r="N24" s="84">
        <f>D24</f>
        <v>0</v>
      </c>
      <c r="O24" s="85">
        <v>0</v>
      </c>
      <c r="P24" s="86">
        <v>0</v>
      </c>
      <c r="Q24" s="86">
        <v>0</v>
      </c>
      <c r="R24" s="86"/>
      <c r="S24" s="87">
        <v>0</v>
      </c>
      <c r="T24" s="81" t="e">
        <f t="shared" si="7"/>
        <v>#N/A</v>
      </c>
      <c r="U24" s="61" t="e">
        <f t="shared" si="2"/>
        <v>#N/A</v>
      </c>
      <c r="V24" s="12" t="e">
        <f t="shared" si="3"/>
        <v>#N/A</v>
      </c>
      <c r="W24" s="12" t="e">
        <f t="shared" si="4"/>
        <v>#N/A</v>
      </c>
      <c r="Y24" s="34" t="e">
        <f>VLOOKUP(B24,要員対応表!$B$7:$D$106,3,FALSE)</f>
        <v>#N/A</v>
      </c>
    </row>
    <row r="25" spans="2:25" s="31" customFormat="1" ht="14.4">
      <c r="B25" s="35" t="s">
        <v>72</v>
      </c>
      <c r="C25" s="69">
        <f t="shared" si="5"/>
        <v>212.75</v>
      </c>
      <c r="D25" s="13">
        <f t="shared" si="0"/>
        <v>14.75</v>
      </c>
      <c r="E25" s="45" t="e">
        <f>VLOOKUP(B25,要員対応表!$B$7:$Y$51,9,FALSE)</f>
        <v>#N/A</v>
      </c>
      <c r="F25" s="14" t="e">
        <f>IF(D25&gt;0,ROUND(D25*VLOOKUP(B25,要員対応表!$B$7:$Y$51,11,FALSE),0),ROUND(D25*VLOOKUP(B25,要員対応表!$B$7:$Y$51,10,FALSE),0))</f>
        <v>#N/A</v>
      </c>
      <c r="G25" s="62" t="e">
        <f>E25+F25</f>
        <v>#N/A</v>
      </c>
      <c r="H25" s="58">
        <v>212.75</v>
      </c>
      <c r="I25" s="69">
        <f t="shared" si="1"/>
        <v>189</v>
      </c>
      <c r="J25" s="74">
        <v>23.75</v>
      </c>
      <c r="K25" s="75"/>
      <c r="L25" s="88">
        <f t="shared" ref="L25:L26" si="9">160-O25</f>
        <v>151</v>
      </c>
      <c r="M25" s="112"/>
      <c r="N25" s="84">
        <v>0</v>
      </c>
      <c r="O25" s="98">
        <f>J25-P25</f>
        <v>9</v>
      </c>
      <c r="P25" s="96">
        <f>D25</f>
        <v>14.75</v>
      </c>
      <c r="Q25" s="86">
        <v>0</v>
      </c>
      <c r="R25" s="86"/>
      <c r="S25" s="87">
        <v>0</v>
      </c>
      <c r="T25" s="81" t="e">
        <f t="shared" si="7"/>
        <v>#N/A</v>
      </c>
      <c r="U25" s="61" t="e">
        <f t="shared" si="2"/>
        <v>#N/A</v>
      </c>
      <c r="V25" s="12" t="e">
        <f t="shared" si="3"/>
        <v>#N/A</v>
      </c>
      <c r="W25" s="12" t="e">
        <f t="shared" si="4"/>
        <v>#N/A</v>
      </c>
      <c r="Y25" s="34" t="e">
        <f>VLOOKUP(B25,要員対応表!$B$7:$D$106,3,FALSE)</f>
        <v>#N/A</v>
      </c>
    </row>
    <row r="26" spans="2:25" s="31" customFormat="1" ht="14.4">
      <c r="B26" s="29" t="s">
        <v>4</v>
      </c>
      <c r="C26" s="69">
        <f t="shared" si="5"/>
        <v>213.75</v>
      </c>
      <c r="D26" s="10">
        <f t="shared" si="0"/>
        <v>15.75</v>
      </c>
      <c r="E26" s="44">
        <f>VLOOKUP(B26,要員対応表!$B$7:$Y$51,9,FALSE)</f>
        <v>950000</v>
      </c>
      <c r="F26" s="11">
        <f>IF(D26&gt;0,ROUND(D26*VLOOKUP(B26,要員対応表!$B$7:$Y$51,11,FALSE),0),ROUND(D26*VLOOKUP(B26,要員対応表!$B$7:$Y$51,10,FALSE),0))</f>
        <v>116550</v>
      </c>
      <c r="G26" s="61">
        <f t="shared" ref="G26:G36" si="10">E26+F26</f>
        <v>1066550</v>
      </c>
      <c r="H26" s="58">
        <v>213.75</v>
      </c>
      <c r="I26" s="69">
        <f t="shared" si="1"/>
        <v>164.75</v>
      </c>
      <c r="J26" s="74">
        <v>49</v>
      </c>
      <c r="K26" s="75"/>
      <c r="L26" s="88">
        <f t="shared" si="9"/>
        <v>126.75</v>
      </c>
      <c r="M26" s="112"/>
      <c r="N26" s="84">
        <v>0</v>
      </c>
      <c r="O26" s="98">
        <f>J26-P26</f>
        <v>33.25</v>
      </c>
      <c r="P26" s="99">
        <f t="shared" ref="P26" si="11">D26</f>
        <v>15.75</v>
      </c>
      <c r="Q26" s="86">
        <v>0</v>
      </c>
      <c r="R26" s="86"/>
      <c r="S26" s="87">
        <v>0</v>
      </c>
      <c r="T26" s="81">
        <f t="shared" si="7"/>
        <v>0</v>
      </c>
      <c r="U26" s="61">
        <f t="shared" si="2"/>
        <v>752578.125</v>
      </c>
      <c r="V26" s="12">
        <f t="shared" si="3"/>
        <v>313971.875</v>
      </c>
      <c r="W26" s="12">
        <f t="shared" si="4"/>
        <v>0</v>
      </c>
      <c r="X26" s="32"/>
      <c r="Y26" s="33" t="s">
        <v>64</v>
      </c>
    </row>
    <row r="27" spans="2:25" s="31" customFormat="1" ht="14.4">
      <c r="B27" s="29" t="s">
        <v>36</v>
      </c>
      <c r="C27" s="69">
        <f t="shared" si="5"/>
        <v>192.25</v>
      </c>
      <c r="D27" s="10">
        <f t="shared" si="0"/>
        <v>0</v>
      </c>
      <c r="E27" s="44">
        <f>VLOOKUP(B27,要員対応表!$B$7:$Y$51,9,FALSE)</f>
        <v>950000</v>
      </c>
      <c r="F27" s="11">
        <f>IF(D27&gt;0,ROUND(D27*VLOOKUP(B27,要員対応表!$B$7:$Y$51,11,FALSE),0),ROUND(D27*VLOOKUP(B27,要員対応表!$B$7:$Y$51,10,FALSE),0))</f>
        <v>0</v>
      </c>
      <c r="G27" s="61">
        <f t="shared" si="10"/>
        <v>950000</v>
      </c>
      <c r="H27" s="58"/>
      <c r="I27" s="69">
        <f t="shared" si="1"/>
        <v>0</v>
      </c>
      <c r="J27" s="74"/>
      <c r="K27" s="75">
        <v>192.25</v>
      </c>
      <c r="L27" s="83">
        <v>0</v>
      </c>
      <c r="M27" s="84"/>
      <c r="N27" s="84">
        <v>0</v>
      </c>
      <c r="O27" s="85">
        <v>0</v>
      </c>
      <c r="P27" s="86">
        <v>0</v>
      </c>
      <c r="Q27" s="86">
        <v>160</v>
      </c>
      <c r="R27" s="86"/>
      <c r="S27" s="87">
        <f>D27</f>
        <v>0</v>
      </c>
      <c r="T27" s="81">
        <f t="shared" si="7"/>
        <v>0</v>
      </c>
      <c r="U27" s="61">
        <f t="shared" si="2"/>
        <v>0</v>
      </c>
      <c r="V27" s="12">
        <f t="shared" si="3"/>
        <v>0</v>
      </c>
      <c r="W27" s="12">
        <f t="shared" si="4"/>
        <v>950000</v>
      </c>
      <c r="X27" s="32"/>
      <c r="Y27" s="33" t="str">
        <f>VLOOKUP(B27,要員対応表!$B$7:$D$106,3,FALSE)</f>
        <v>名城　藤貴雄</v>
      </c>
    </row>
    <row r="28" spans="2:25" s="31" customFormat="1" ht="14.4">
      <c r="B28" s="29" t="s">
        <v>37</v>
      </c>
      <c r="C28" s="69">
        <f t="shared" si="5"/>
        <v>146</v>
      </c>
      <c r="D28" s="10">
        <f t="shared" si="0"/>
        <v>0</v>
      </c>
      <c r="E28" s="44">
        <f>VLOOKUP(B28,要員対応表!$B$7:$Y$51,9,FALSE)</f>
        <v>950000</v>
      </c>
      <c r="F28" s="11">
        <f>IF(D28&gt;0,ROUND(D28*VLOOKUP(B28,要員対応表!$B$7:$Y$51,11,FALSE),0),ROUND(D28*VLOOKUP(B28,要員対応表!$B$7:$Y$51,10,FALSE),0))</f>
        <v>0</v>
      </c>
      <c r="G28" s="61">
        <f t="shared" si="10"/>
        <v>950000</v>
      </c>
      <c r="H28" s="58"/>
      <c r="I28" s="69">
        <f t="shared" si="1"/>
        <v>0</v>
      </c>
      <c r="J28" s="74"/>
      <c r="K28" s="75">
        <v>146</v>
      </c>
      <c r="L28" s="83">
        <v>0</v>
      </c>
      <c r="M28" s="84"/>
      <c r="N28" s="84">
        <v>0</v>
      </c>
      <c r="O28" s="85">
        <v>0</v>
      </c>
      <c r="P28" s="86">
        <v>0</v>
      </c>
      <c r="Q28" s="86">
        <v>160</v>
      </c>
      <c r="R28" s="86"/>
      <c r="S28" s="87">
        <f>D28</f>
        <v>0</v>
      </c>
      <c r="T28" s="81">
        <f t="shared" si="7"/>
        <v>0</v>
      </c>
      <c r="U28" s="61">
        <f t="shared" si="2"/>
        <v>0</v>
      </c>
      <c r="V28" s="12">
        <f t="shared" si="3"/>
        <v>0</v>
      </c>
      <c r="W28" s="12">
        <f t="shared" si="4"/>
        <v>950000</v>
      </c>
      <c r="X28" s="32"/>
      <c r="Y28" s="33" t="str">
        <f>VLOOKUP(B28,要員対応表!$B$7:$D$106,3,FALSE)</f>
        <v>細井　亮司</v>
      </c>
    </row>
    <row r="29" spans="2:25" s="31" customFormat="1" ht="14.4">
      <c r="B29" s="35" t="s">
        <v>38</v>
      </c>
      <c r="C29" s="69">
        <f t="shared" si="5"/>
        <v>157.75</v>
      </c>
      <c r="D29" s="13">
        <f t="shared" si="0"/>
        <v>0</v>
      </c>
      <c r="E29" s="45" t="e">
        <f>VLOOKUP(B29,要員対応表!$B$7:$Y$51,9,FALSE)</f>
        <v>#N/A</v>
      </c>
      <c r="F29" s="14" t="e">
        <f>IF(D29&gt;0,ROUND(D29*VLOOKUP(B29,要員対応表!$B$7:$Y$51,11,FALSE),0),ROUND(D29*VLOOKUP(B29,要員対応表!$B$7:$Y$51,10,FALSE),0))</f>
        <v>#N/A</v>
      </c>
      <c r="G29" s="62" t="e">
        <f t="shared" si="10"/>
        <v>#N/A</v>
      </c>
      <c r="H29" s="58">
        <v>157.75</v>
      </c>
      <c r="I29" s="69">
        <f t="shared" si="1"/>
        <v>157.75</v>
      </c>
      <c r="J29" s="74"/>
      <c r="K29" s="75"/>
      <c r="L29" s="83">
        <v>160</v>
      </c>
      <c r="M29" s="84"/>
      <c r="N29" s="84">
        <f>D29</f>
        <v>0</v>
      </c>
      <c r="O29" s="85">
        <v>0</v>
      </c>
      <c r="P29" s="86">
        <v>0</v>
      </c>
      <c r="Q29" s="86">
        <v>0</v>
      </c>
      <c r="R29" s="86"/>
      <c r="S29" s="87">
        <v>0</v>
      </c>
      <c r="T29" s="81" t="e">
        <f t="shared" si="7"/>
        <v>#N/A</v>
      </c>
      <c r="U29" s="61" t="e">
        <f t="shared" si="2"/>
        <v>#N/A</v>
      </c>
      <c r="V29" s="12" t="e">
        <f t="shared" si="3"/>
        <v>#N/A</v>
      </c>
      <c r="W29" s="12" t="e">
        <f t="shared" si="4"/>
        <v>#N/A</v>
      </c>
      <c r="Y29" s="34" t="e">
        <f>VLOOKUP(B29,要員対応表!$B$7:$D$106,3,FALSE)</f>
        <v>#N/A</v>
      </c>
    </row>
    <row r="30" spans="2:25" s="31" customFormat="1" ht="14.4">
      <c r="B30" s="29" t="s">
        <v>39</v>
      </c>
      <c r="C30" s="69">
        <f t="shared" si="5"/>
        <v>176.5</v>
      </c>
      <c r="D30" s="10">
        <f t="shared" si="0"/>
        <v>0</v>
      </c>
      <c r="E30" s="44">
        <f>VLOOKUP(B30,要員対応表!$B$7:$Y$51,9,FALSE)</f>
        <v>1000000</v>
      </c>
      <c r="F30" s="11">
        <f>IF(D30&gt;0,ROUND(D30*VLOOKUP(B30,要員対応表!$B$7:$Y$51,11,FALSE),0),ROUND(D30*VLOOKUP(B30,要員対応表!$B$7:$Y$51,10,FALSE),0))</f>
        <v>0</v>
      </c>
      <c r="G30" s="61">
        <f t="shared" si="10"/>
        <v>1000000</v>
      </c>
      <c r="H30" s="58">
        <v>17.5</v>
      </c>
      <c r="I30" s="69">
        <f t="shared" si="1"/>
        <v>0</v>
      </c>
      <c r="J30" s="74">
        <v>17.5</v>
      </c>
      <c r="K30" s="75">
        <v>159</v>
      </c>
      <c r="L30" s="95">
        <v>0</v>
      </c>
      <c r="M30" s="111"/>
      <c r="N30" s="84">
        <v>0</v>
      </c>
      <c r="O30" s="98">
        <f>J30</f>
        <v>17.5</v>
      </c>
      <c r="P30" s="86">
        <v>0</v>
      </c>
      <c r="Q30" s="108">
        <f>160-O30</f>
        <v>142.5</v>
      </c>
      <c r="R30" s="108"/>
      <c r="S30" s="87">
        <v>0</v>
      </c>
      <c r="T30" s="81">
        <f t="shared" si="7"/>
        <v>0</v>
      </c>
      <c r="U30" s="61">
        <f t="shared" si="2"/>
        <v>0</v>
      </c>
      <c r="V30" s="12">
        <f t="shared" si="3"/>
        <v>109375</v>
      </c>
      <c r="W30" s="12">
        <f t="shared" si="4"/>
        <v>890625</v>
      </c>
      <c r="X30" s="32"/>
      <c r="Y30" s="33" t="str">
        <f>VLOOKUP(B30,要員対応表!$B$7:$D$106,3,FALSE)</f>
        <v>矢代　一人</v>
      </c>
    </row>
    <row r="31" spans="2:25" s="31" customFormat="1" ht="14.4">
      <c r="B31" s="29" t="s">
        <v>63</v>
      </c>
      <c r="C31" s="69">
        <f t="shared" si="5"/>
        <v>157.75</v>
      </c>
      <c r="D31" s="10">
        <f t="shared" si="0"/>
        <v>0</v>
      </c>
      <c r="E31" s="44">
        <f>VLOOKUP(B31,要員対応表!$B$7:$Y$51,9,FALSE)</f>
        <v>1000000</v>
      </c>
      <c r="F31" s="11">
        <f>IF(D31&gt;0,ROUND(D31*VLOOKUP(B31,要員対応表!$B$7:$Y$51,11,FALSE),0),ROUND(D31*VLOOKUP(B31,要員対応表!$B$7:$Y$51,10,FALSE),0))</f>
        <v>0</v>
      </c>
      <c r="G31" s="61">
        <f t="shared" si="10"/>
        <v>1000000</v>
      </c>
      <c r="H31" s="58">
        <v>21.75</v>
      </c>
      <c r="I31" s="69">
        <f t="shared" si="1"/>
        <v>0</v>
      </c>
      <c r="J31" s="74">
        <v>21.75</v>
      </c>
      <c r="K31" s="75">
        <v>136</v>
      </c>
      <c r="L31" s="83">
        <v>0</v>
      </c>
      <c r="M31" s="84"/>
      <c r="N31" s="84">
        <v>0</v>
      </c>
      <c r="O31" s="89">
        <f>H31</f>
        <v>21.75</v>
      </c>
      <c r="P31" s="86">
        <v>0</v>
      </c>
      <c r="Q31" s="86">
        <f>160-O31</f>
        <v>138.25</v>
      </c>
      <c r="R31" s="86"/>
      <c r="S31" s="87">
        <v>0</v>
      </c>
      <c r="T31" s="81">
        <f t="shared" si="7"/>
        <v>0</v>
      </c>
      <c r="U31" s="61">
        <f t="shared" si="2"/>
        <v>0</v>
      </c>
      <c r="V31" s="12">
        <f t="shared" si="3"/>
        <v>135937.5</v>
      </c>
      <c r="W31" s="12">
        <f t="shared" si="4"/>
        <v>864062.5</v>
      </c>
      <c r="X31" s="32"/>
      <c r="Y31" s="33" t="str">
        <f>VLOOKUP(B31,要員対応表!$B$7:$D$106,3,FALSE)</f>
        <v>國吉　健太</v>
      </c>
    </row>
    <row r="32" spans="2:25" s="31" customFormat="1" ht="14.4">
      <c r="B32" s="29" t="s">
        <v>13</v>
      </c>
      <c r="C32" s="69">
        <f t="shared" si="5"/>
        <v>178.25</v>
      </c>
      <c r="D32" s="10">
        <f t="shared" si="0"/>
        <v>0</v>
      </c>
      <c r="E32" s="44">
        <f>VLOOKUP(B32,要員対応表!$B$7:$Y$51,9,FALSE)</f>
        <v>1000000</v>
      </c>
      <c r="F32" s="11">
        <f>IF(D32&gt;0,ROUND(D32*VLOOKUP(B32,要員対応表!$B$7:$Y$51,11,FALSE),0),ROUND(D32*VLOOKUP(B32,要員対応表!$B$7:$Y$51,10,FALSE),0))</f>
        <v>0</v>
      </c>
      <c r="G32" s="61">
        <f t="shared" si="10"/>
        <v>1000000</v>
      </c>
      <c r="H32" s="58"/>
      <c r="I32" s="69">
        <f t="shared" si="1"/>
        <v>0</v>
      </c>
      <c r="J32" s="74"/>
      <c r="K32" s="75">
        <v>178.25</v>
      </c>
      <c r="L32" s="83">
        <v>0</v>
      </c>
      <c r="M32" s="84"/>
      <c r="N32" s="84">
        <v>0</v>
      </c>
      <c r="O32" s="85">
        <v>0</v>
      </c>
      <c r="P32" s="86">
        <v>0</v>
      </c>
      <c r="Q32" s="86">
        <v>160</v>
      </c>
      <c r="R32" s="86"/>
      <c r="S32" s="87">
        <f>D32</f>
        <v>0</v>
      </c>
      <c r="T32" s="81">
        <f t="shared" si="7"/>
        <v>0</v>
      </c>
      <c r="U32" s="61">
        <f t="shared" si="2"/>
        <v>0</v>
      </c>
      <c r="V32" s="12">
        <f t="shared" si="3"/>
        <v>0</v>
      </c>
      <c r="W32" s="12">
        <f t="shared" si="4"/>
        <v>1000000</v>
      </c>
      <c r="X32" s="32"/>
      <c r="Y32" s="33" t="str">
        <f>VLOOKUP(B32,要員対応表!$B$7:$D$106,3,FALSE)</f>
        <v>魏　陽</v>
      </c>
    </row>
    <row r="33" spans="2:25" s="31" customFormat="1" ht="14.4">
      <c r="B33" s="29" t="s">
        <v>41</v>
      </c>
      <c r="C33" s="69">
        <f t="shared" si="5"/>
        <v>219.5</v>
      </c>
      <c r="D33" s="10">
        <f t="shared" si="0"/>
        <v>21.5</v>
      </c>
      <c r="E33" s="44">
        <f>VLOOKUP(B33,要員対応表!$B$7:$Y$51,9,FALSE)</f>
        <v>1000000</v>
      </c>
      <c r="F33" s="11">
        <f>IF(D33&gt;0,ROUND(D33*VLOOKUP(B33,要員対応表!$B$7:$Y$51,11,FALSE),0),ROUND(D33*VLOOKUP(B33,要員対応表!$B$7:$Y$51,10,FALSE),0))</f>
        <v>167700</v>
      </c>
      <c r="G33" s="61">
        <f t="shared" si="10"/>
        <v>1167700</v>
      </c>
      <c r="H33" s="58"/>
      <c r="I33" s="69">
        <f t="shared" si="1"/>
        <v>0</v>
      </c>
      <c r="J33" s="74"/>
      <c r="K33" s="75">
        <v>219.5</v>
      </c>
      <c r="L33" s="83">
        <v>0</v>
      </c>
      <c r="M33" s="84"/>
      <c r="N33" s="84">
        <v>0</v>
      </c>
      <c r="O33" s="85">
        <v>0</v>
      </c>
      <c r="P33" s="86">
        <v>0</v>
      </c>
      <c r="Q33" s="86">
        <v>160</v>
      </c>
      <c r="R33" s="86"/>
      <c r="S33" s="87">
        <f>D33</f>
        <v>21.5</v>
      </c>
      <c r="T33" s="81">
        <f t="shared" si="7"/>
        <v>0</v>
      </c>
      <c r="U33" s="61">
        <f t="shared" si="2"/>
        <v>0</v>
      </c>
      <c r="V33" s="12">
        <f t="shared" si="3"/>
        <v>0</v>
      </c>
      <c r="W33" s="12">
        <f t="shared" si="4"/>
        <v>1167700</v>
      </c>
      <c r="X33" s="32"/>
      <c r="Y33" s="33" t="str">
        <f>VLOOKUP(B33,要員対応表!$B$7:$D$106,3,FALSE)</f>
        <v>二ノ宮 達郎</v>
      </c>
    </row>
    <row r="34" spans="2:25" s="31" customFormat="1" ht="14.4">
      <c r="B34" s="29" t="s">
        <v>66</v>
      </c>
      <c r="C34" s="69">
        <f t="shared" si="5"/>
        <v>184.5</v>
      </c>
      <c r="D34" s="10">
        <f t="shared" si="0"/>
        <v>0</v>
      </c>
      <c r="E34" s="44">
        <f>VLOOKUP(B34,要員対応表!$B$7:$Y$51,9,FALSE)</f>
        <v>1000000</v>
      </c>
      <c r="F34" s="11">
        <f>IF(D34&gt;0,ROUND(D34*VLOOKUP(B34,要員対応表!$B$7:$Y$51,11,FALSE),0),ROUND(D34*VLOOKUP(B34,要員対応表!$B$7:$Y$51,10,FALSE),0))</f>
        <v>0</v>
      </c>
      <c r="G34" s="61">
        <f t="shared" si="10"/>
        <v>1000000</v>
      </c>
      <c r="H34" s="58">
        <v>184.5</v>
      </c>
      <c r="I34" s="69">
        <f t="shared" si="1"/>
        <v>184.5</v>
      </c>
      <c r="J34" s="74"/>
      <c r="K34" s="75"/>
      <c r="L34" s="83">
        <f>160-O34</f>
        <v>160</v>
      </c>
      <c r="M34" s="84"/>
      <c r="N34" s="84">
        <f>D34</f>
        <v>0</v>
      </c>
      <c r="O34" s="85">
        <v>0</v>
      </c>
      <c r="P34" s="86">
        <v>0</v>
      </c>
      <c r="Q34" s="86">
        <v>0</v>
      </c>
      <c r="R34" s="86"/>
      <c r="S34" s="87">
        <v>0</v>
      </c>
      <c r="T34" s="81">
        <f t="shared" si="7"/>
        <v>0</v>
      </c>
      <c r="U34" s="61">
        <f t="shared" si="2"/>
        <v>1000000</v>
      </c>
      <c r="V34" s="12">
        <f t="shared" si="3"/>
        <v>0</v>
      </c>
      <c r="W34" s="12">
        <f t="shared" si="4"/>
        <v>0</v>
      </c>
      <c r="X34" s="32"/>
      <c r="Y34" s="33" t="str">
        <f>VLOOKUP(B34,要員対応表!$B$7:$D$106,3,FALSE)</f>
        <v>田崎　猛</v>
      </c>
    </row>
    <row r="35" spans="2:25" s="31" customFormat="1" ht="14.4">
      <c r="B35" s="29" t="s">
        <v>33</v>
      </c>
      <c r="C35" s="69">
        <f t="shared" si="5"/>
        <v>181</v>
      </c>
      <c r="D35" s="10">
        <f t="shared" si="0"/>
        <v>0</v>
      </c>
      <c r="E35" s="44">
        <f>VLOOKUP(B35,要員対応表!$B$7:$Y$51,9,FALSE)</f>
        <v>1000000</v>
      </c>
      <c r="F35" s="11">
        <f>IF(D35&gt;0,ROUND(D35*VLOOKUP(B35,要員対応表!$B$7:$Y$51,11,FALSE),0),ROUND(D35*VLOOKUP(B35,要員対応表!$B$7:$Y$51,10,FALSE),0))</f>
        <v>0</v>
      </c>
      <c r="G35" s="61">
        <f t="shared" si="10"/>
        <v>1000000</v>
      </c>
      <c r="H35" s="58">
        <v>12.75</v>
      </c>
      <c r="I35" s="69">
        <f t="shared" si="1"/>
        <v>0</v>
      </c>
      <c r="J35" s="74">
        <v>12.75</v>
      </c>
      <c r="K35" s="75">
        <v>168.25</v>
      </c>
      <c r="L35" s="83">
        <v>0</v>
      </c>
      <c r="M35" s="84"/>
      <c r="N35" s="84">
        <v>0</v>
      </c>
      <c r="O35" s="91">
        <f>H35</f>
        <v>12.75</v>
      </c>
      <c r="P35" s="86">
        <v>0</v>
      </c>
      <c r="Q35" s="92">
        <f>160-O35</f>
        <v>147.25</v>
      </c>
      <c r="R35" s="92"/>
      <c r="S35" s="87">
        <v>0</v>
      </c>
      <c r="T35" s="81">
        <f t="shared" si="7"/>
        <v>0</v>
      </c>
      <c r="U35" s="61">
        <f t="shared" si="2"/>
        <v>0</v>
      </c>
      <c r="V35" s="12">
        <f t="shared" si="3"/>
        <v>79687.5</v>
      </c>
      <c r="W35" s="12">
        <f t="shared" si="4"/>
        <v>920312.5</v>
      </c>
      <c r="X35" s="32"/>
      <c r="Y35" s="33" t="str">
        <f>VLOOKUP(B35,要員対応表!$B$7:$D$106,3,FALSE)</f>
        <v>ファム　フィ　アイン</v>
      </c>
    </row>
    <row r="36" spans="2:25" s="31" customFormat="1" ht="14.4">
      <c r="B36" s="29" t="s">
        <v>34</v>
      </c>
      <c r="C36" s="69">
        <f t="shared" si="5"/>
        <v>179.5</v>
      </c>
      <c r="D36" s="10">
        <f t="shared" si="0"/>
        <v>0</v>
      </c>
      <c r="E36" s="44">
        <f>VLOOKUP(B36,要員対応表!$B$7:$Y$51,9,FALSE)</f>
        <v>1050000</v>
      </c>
      <c r="F36" s="11">
        <f>IF(D36&gt;0,ROUND(D36*VLOOKUP(B36,要員対応表!$B$7:$Y$51,11,FALSE),0),ROUND(D36*VLOOKUP(B36,要員対応表!$B$7:$Y$51,10,FALSE),0))</f>
        <v>0</v>
      </c>
      <c r="G36" s="61">
        <f t="shared" si="10"/>
        <v>1050000</v>
      </c>
      <c r="H36" s="58"/>
      <c r="I36" s="69">
        <f t="shared" si="1"/>
        <v>0</v>
      </c>
      <c r="J36" s="74"/>
      <c r="K36" s="75">
        <v>179.5</v>
      </c>
      <c r="L36" s="83">
        <v>0</v>
      </c>
      <c r="M36" s="84"/>
      <c r="N36" s="84">
        <v>0</v>
      </c>
      <c r="O36" s="85">
        <v>0</v>
      </c>
      <c r="P36" s="86">
        <v>0</v>
      </c>
      <c r="Q36" s="86">
        <v>160</v>
      </c>
      <c r="R36" s="86"/>
      <c r="S36" s="87">
        <f>D36</f>
        <v>0</v>
      </c>
      <c r="T36" s="81">
        <f t="shared" si="7"/>
        <v>0</v>
      </c>
      <c r="U36" s="61">
        <f t="shared" si="2"/>
        <v>0</v>
      </c>
      <c r="V36" s="12">
        <f t="shared" si="3"/>
        <v>0</v>
      </c>
      <c r="W36" s="12">
        <f t="shared" si="4"/>
        <v>1050000</v>
      </c>
      <c r="X36" s="32"/>
      <c r="Y36" s="33" t="str">
        <f>VLOOKUP(B36,要員対応表!$B$7:$D$106,3,FALSE)</f>
        <v>堀井 雅史</v>
      </c>
    </row>
    <row r="37" spans="2:25" s="31" customFormat="1" ht="14.4">
      <c r="B37" s="35" t="s">
        <v>32</v>
      </c>
      <c r="C37" s="69">
        <f t="shared" si="5"/>
        <v>170.5</v>
      </c>
      <c r="D37" s="13">
        <f t="shared" si="0"/>
        <v>0</v>
      </c>
      <c r="E37" s="45">
        <f>VLOOKUP(B37,要員対応表!$B$7:$Y$51,9,FALSE)</f>
        <v>1050000</v>
      </c>
      <c r="F37" s="14">
        <f>IF(D37&gt;0,ROUND(D37*VLOOKUP(B37,要員対応表!$B$7:$Y$51,11,FALSE),0),ROUND(D37*VLOOKUP(B37,要員対応表!$B$7:$Y$51,10,FALSE),0))</f>
        <v>0</v>
      </c>
      <c r="G37" s="62">
        <f>E37+F37</f>
        <v>1050000</v>
      </c>
      <c r="H37" s="58">
        <v>170.5</v>
      </c>
      <c r="I37" s="69">
        <f t="shared" si="1"/>
        <v>170.5</v>
      </c>
      <c r="J37" s="74"/>
      <c r="K37" s="75"/>
      <c r="L37" s="83">
        <v>160</v>
      </c>
      <c r="M37" s="84"/>
      <c r="N37" s="84">
        <f>D37</f>
        <v>0</v>
      </c>
      <c r="O37" s="85">
        <v>0</v>
      </c>
      <c r="P37" s="86">
        <v>0</v>
      </c>
      <c r="Q37" s="86">
        <v>0</v>
      </c>
      <c r="R37" s="86"/>
      <c r="S37" s="87">
        <v>0</v>
      </c>
      <c r="T37" s="81">
        <f t="shared" si="7"/>
        <v>0</v>
      </c>
      <c r="U37" s="61">
        <f t="shared" si="2"/>
        <v>1050000</v>
      </c>
      <c r="V37" s="12">
        <f t="shared" si="3"/>
        <v>0</v>
      </c>
      <c r="W37" s="12">
        <f t="shared" si="4"/>
        <v>0</v>
      </c>
      <c r="Y37" s="34" t="str">
        <f>VLOOKUP(B37,要員対応表!$B$7:$D$106,3,FALSE)</f>
        <v>吉岡　真太郎</v>
      </c>
    </row>
    <row r="38" spans="2:25" s="31" customFormat="1" ht="14.4">
      <c r="B38" s="29" t="s">
        <v>65</v>
      </c>
      <c r="C38" s="69">
        <f t="shared" si="5"/>
        <v>168.75</v>
      </c>
      <c r="D38" s="10">
        <f t="shared" si="0"/>
        <v>0</v>
      </c>
      <c r="E38" s="44" t="e">
        <f>VLOOKUP(B38,要員対応表!$B$7:$Y$51,9,FALSE)</f>
        <v>#N/A</v>
      </c>
      <c r="F38" s="11" t="e">
        <f>IF(D38&gt;0,ROUND(D38*VLOOKUP(B38,要員対応表!$B$7:$Y$51,11,FALSE),0),ROUND(D38*VLOOKUP(B38,要員対応表!$B$7:$Y$51,10,FALSE),0))</f>
        <v>#N/A</v>
      </c>
      <c r="G38" s="61" t="e">
        <f t="shared" ref="G38:G47" si="12">E38+F38</f>
        <v>#N/A</v>
      </c>
      <c r="H38" s="58"/>
      <c r="I38" s="69">
        <f t="shared" si="1"/>
        <v>0</v>
      </c>
      <c r="J38" s="74"/>
      <c r="K38" s="75">
        <v>168.75</v>
      </c>
      <c r="L38" s="83">
        <v>0</v>
      </c>
      <c r="M38" s="84"/>
      <c r="N38" s="84">
        <v>0</v>
      </c>
      <c r="O38" s="85">
        <v>0</v>
      </c>
      <c r="P38" s="86">
        <v>0</v>
      </c>
      <c r="Q38" s="86">
        <v>160</v>
      </c>
      <c r="R38" s="86"/>
      <c r="S38" s="87">
        <f>D38</f>
        <v>0</v>
      </c>
      <c r="T38" s="81" t="e">
        <f t="shared" si="7"/>
        <v>#N/A</v>
      </c>
      <c r="U38" s="61" t="e">
        <f t="shared" si="2"/>
        <v>#N/A</v>
      </c>
      <c r="V38" s="12" t="e">
        <f t="shared" si="3"/>
        <v>#N/A</v>
      </c>
      <c r="W38" s="12" t="e">
        <f t="shared" si="4"/>
        <v>#N/A</v>
      </c>
      <c r="X38" s="32"/>
      <c r="Y38" s="33" t="e">
        <f>VLOOKUP(B38,要員対応表!$B$7:$D$106,3,FALSE)</f>
        <v>#N/A</v>
      </c>
    </row>
    <row r="39" spans="2:25" s="31" customFormat="1" ht="14.4">
      <c r="B39" s="29" t="s">
        <v>57</v>
      </c>
      <c r="C39" s="69">
        <f t="shared" si="5"/>
        <v>232.75</v>
      </c>
      <c r="D39" s="10">
        <f t="shared" si="0"/>
        <v>34.75</v>
      </c>
      <c r="E39" s="44" t="e">
        <f>VLOOKUP(B39,要員対応表!$B$7:$Y$51,9,FALSE)</f>
        <v>#N/A</v>
      </c>
      <c r="F39" s="11" t="e">
        <f>IF(D39&gt;0,ROUND(D39*VLOOKUP(B39,要員対応表!$B$7:$Y$51,11,FALSE),0),ROUND(D39*VLOOKUP(B39,要員対応表!$B$7:$Y$51,10,FALSE),0))</f>
        <v>#N/A</v>
      </c>
      <c r="G39" s="61" t="e">
        <f t="shared" si="12"/>
        <v>#N/A</v>
      </c>
      <c r="H39" s="58">
        <v>232.75</v>
      </c>
      <c r="I39" s="69">
        <f t="shared" si="1"/>
        <v>165.5</v>
      </c>
      <c r="J39" s="74">
        <v>67.25</v>
      </c>
      <c r="K39" s="75"/>
      <c r="L39" s="93">
        <f>160-O39</f>
        <v>127.5</v>
      </c>
      <c r="M39" s="113"/>
      <c r="N39" s="84">
        <v>0</v>
      </c>
      <c r="O39" s="100">
        <f>J39-P39</f>
        <v>32.5</v>
      </c>
      <c r="P39" s="96">
        <f>D39</f>
        <v>34.75</v>
      </c>
      <c r="Q39" s="86">
        <v>0</v>
      </c>
      <c r="R39" s="86"/>
      <c r="S39" s="87">
        <v>0</v>
      </c>
      <c r="T39" s="81" t="e">
        <f t="shared" si="7"/>
        <v>#N/A</v>
      </c>
      <c r="U39" s="61" t="e">
        <f t="shared" si="2"/>
        <v>#N/A</v>
      </c>
      <c r="V39" s="12" t="e">
        <f t="shared" si="3"/>
        <v>#N/A</v>
      </c>
      <c r="W39" s="12" t="e">
        <f t="shared" si="4"/>
        <v>#N/A</v>
      </c>
      <c r="X39" s="32"/>
      <c r="Y39" s="33" t="e">
        <f>VLOOKUP(B39,要員対応表!$B$7:$D$106,3,FALSE)</f>
        <v>#N/A</v>
      </c>
    </row>
    <row r="40" spans="2:25" s="31" customFormat="1" ht="14.4">
      <c r="B40" s="29" t="s">
        <v>59</v>
      </c>
      <c r="C40" s="69">
        <f t="shared" si="5"/>
        <v>196.75</v>
      </c>
      <c r="D40" s="10">
        <f t="shared" si="0"/>
        <v>0</v>
      </c>
      <c r="E40" s="44" t="e">
        <f>VLOOKUP(B40,要員対応表!$B$7:$Y$51,9,FALSE)</f>
        <v>#N/A</v>
      </c>
      <c r="F40" s="11" t="e">
        <f>IF(D40&gt;0,ROUND(D40*VLOOKUP(B40,要員対応表!$B$7:$Y$51,11,FALSE),0),ROUND(D40*VLOOKUP(B40,要員対応表!$B$7:$Y$51,10,FALSE),0))</f>
        <v>#N/A</v>
      </c>
      <c r="G40" s="61" t="e">
        <f t="shared" si="12"/>
        <v>#N/A</v>
      </c>
      <c r="H40" s="58"/>
      <c r="I40" s="69">
        <f t="shared" si="1"/>
        <v>0</v>
      </c>
      <c r="J40" s="74"/>
      <c r="K40" s="75">
        <v>196.75</v>
      </c>
      <c r="L40" s="83">
        <v>0</v>
      </c>
      <c r="M40" s="84"/>
      <c r="N40" s="84">
        <v>0</v>
      </c>
      <c r="O40" s="85">
        <v>0</v>
      </c>
      <c r="P40" s="86">
        <v>0</v>
      </c>
      <c r="Q40" s="86">
        <v>160</v>
      </c>
      <c r="R40" s="86"/>
      <c r="S40" s="87">
        <f>D40</f>
        <v>0</v>
      </c>
      <c r="T40" s="81" t="e">
        <f t="shared" si="7"/>
        <v>#N/A</v>
      </c>
      <c r="U40" s="61" t="e">
        <f t="shared" si="2"/>
        <v>#N/A</v>
      </c>
      <c r="V40" s="12" t="e">
        <f t="shared" si="3"/>
        <v>#N/A</v>
      </c>
      <c r="W40" s="12" t="e">
        <f t="shared" si="4"/>
        <v>#N/A</v>
      </c>
      <c r="X40" s="32"/>
      <c r="Y40" s="33" t="e">
        <f>VLOOKUP(B40,要員対応表!$B$7:$D$106,3,FALSE)</f>
        <v>#N/A</v>
      </c>
    </row>
    <row r="41" spans="2:25" s="31" customFormat="1" ht="14.4">
      <c r="B41" s="29" t="s">
        <v>0</v>
      </c>
      <c r="C41" s="69">
        <f t="shared" si="5"/>
        <v>246.25</v>
      </c>
      <c r="D41" s="10">
        <f t="shared" si="0"/>
        <v>48.25</v>
      </c>
      <c r="E41" s="44">
        <f>VLOOKUP(B41,要員対応表!$B$7:$Y$51,9,FALSE)</f>
        <v>1100000</v>
      </c>
      <c r="F41" s="11">
        <f>IF(D41&gt;0,ROUND(D41*VLOOKUP(B41,要員対応表!$B$7:$Y$51,11,FALSE),0),ROUND(D41*VLOOKUP(B41,要員対応表!$B$7:$Y$51,10,FALSE),0))</f>
        <v>410125</v>
      </c>
      <c r="G41" s="61">
        <f t="shared" si="12"/>
        <v>1510125</v>
      </c>
      <c r="H41" s="58">
        <v>246.25</v>
      </c>
      <c r="I41" s="69">
        <f t="shared" si="1"/>
        <v>200.75</v>
      </c>
      <c r="J41" s="74">
        <v>45.5</v>
      </c>
      <c r="K41" s="75"/>
      <c r="L41" s="93">
        <f>160-O41</f>
        <v>160</v>
      </c>
      <c r="M41" s="113"/>
      <c r="N41" s="106">
        <f>D41-P41</f>
        <v>2.75</v>
      </c>
      <c r="O41" s="101">
        <v>0</v>
      </c>
      <c r="P41" s="96">
        <f>J41</f>
        <v>45.5</v>
      </c>
      <c r="Q41" s="86">
        <v>0</v>
      </c>
      <c r="R41" s="86"/>
      <c r="S41" s="87">
        <v>0</v>
      </c>
      <c r="T41" s="81">
        <f t="shared" si="7"/>
        <v>0</v>
      </c>
      <c r="U41" s="61">
        <f t="shared" si="2"/>
        <v>1123375</v>
      </c>
      <c r="V41" s="12">
        <f t="shared" si="3"/>
        <v>386750</v>
      </c>
      <c r="W41" s="12">
        <f t="shared" si="4"/>
        <v>0</v>
      </c>
      <c r="X41" s="32"/>
      <c r="Y41" s="33" t="str">
        <f>VLOOKUP(B41,要員対応表!$B$7:$D$106,3,FALSE)</f>
        <v>中村　洋太</v>
      </c>
    </row>
    <row r="42" spans="2:25" s="31" customFormat="1" ht="14.4">
      <c r="B42" s="29" t="s">
        <v>5</v>
      </c>
      <c r="C42" s="69">
        <f t="shared" si="5"/>
        <v>235</v>
      </c>
      <c r="D42" s="10">
        <f t="shared" si="0"/>
        <v>37</v>
      </c>
      <c r="E42" s="44" t="e">
        <f>VLOOKUP(B42,要員対応表!$B$7:$Y$51,9,FALSE)</f>
        <v>#N/A</v>
      </c>
      <c r="F42" s="11" t="e">
        <f>IF(D42&gt;0,ROUND(D42*VLOOKUP(B42,要員対応表!$B$7:$Y$51,11,FALSE),0),ROUND(D42*VLOOKUP(B42,要員対応表!$B$7:$Y$51,10,FALSE),0))</f>
        <v>#N/A</v>
      </c>
      <c r="G42" s="61" t="e">
        <f t="shared" si="12"/>
        <v>#N/A</v>
      </c>
      <c r="H42" s="58">
        <v>179.25</v>
      </c>
      <c r="I42" s="69">
        <f t="shared" si="1"/>
        <v>179.25</v>
      </c>
      <c r="J42" s="74"/>
      <c r="K42" s="75">
        <v>55.75</v>
      </c>
      <c r="L42" s="109">
        <f>160-O42-Q42</f>
        <v>104.25</v>
      </c>
      <c r="M42" s="106"/>
      <c r="N42" s="106">
        <f>D42-P42-S42</f>
        <v>37</v>
      </c>
      <c r="O42" s="98">
        <v>0</v>
      </c>
      <c r="P42" s="96">
        <f>J42</f>
        <v>0</v>
      </c>
      <c r="Q42" s="107">
        <f>K42</f>
        <v>55.75</v>
      </c>
      <c r="R42" s="107"/>
      <c r="S42" s="110">
        <v>0</v>
      </c>
      <c r="T42" s="81" t="e">
        <f t="shared" si="7"/>
        <v>#N/A</v>
      </c>
      <c r="U42" s="61" t="e">
        <f t="shared" si="2"/>
        <v>#N/A</v>
      </c>
      <c r="V42" s="12" t="e">
        <f t="shared" si="3"/>
        <v>#N/A</v>
      </c>
      <c r="W42" s="12" t="e">
        <f t="shared" si="4"/>
        <v>#N/A</v>
      </c>
      <c r="X42" s="32"/>
      <c r="Y42" s="33" t="e">
        <f>VLOOKUP(B42,要員対応表!$B$7:$D$106,3,FALSE)</f>
        <v>#N/A</v>
      </c>
    </row>
    <row r="43" spans="2:25" s="31" customFormat="1" ht="14.4">
      <c r="B43" s="29" t="s">
        <v>61</v>
      </c>
      <c r="C43" s="69">
        <f t="shared" si="5"/>
        <v>185.5</v>
      </c>
      <c r="D43" s="10">
        <f t="shared" si="0"/>
        <v>0</v>
      </c>
      <c r="E43" s="44" t="e">
        <f>VLOOKUP(B43,要員対応表!$B$7:$Y$51,9,FALSE)</f>
        <v>#N/A</v>
      </c>
      <c r="F43" s="11" t="e">
        <f>IF(D43&gt;0,ROUND(D43*VLOOKUP(B43,要員対応表!$B$7:$Y$51,11,FALSE),0),ROUND(D43*VLOOKUP(B43,要員対応表!$B$7:$Y$51,10,FALSE),0))</f>
        <v>#N/A</v>
      </c>
      <c r="G43" s="61" t="e">
        <f t="shared" si="12"/>
        <v>#N/A</v>
      </c>
      <c r="H43" s="58"/>
      <c r="I43" s="69">
        <f t="shared" si="1"/>
        <v>0</v>
      </c>
      <c r="J43" s="74"/>
      <c r="K43" s="75">
        <v>185.5</v>
      </c>
      <c r="L43" s="83">
        <v>0</v>
      </c>
      <c r="M43" s="84"/>
      <c r="N43" s="84">
        <v>0</v>
      </c>
      <c r="O43" s="85">
        <v>0</v>
      </c>
      <c r="P43" s="86">
        <v>0</v>
      </c>
      <c r="Q43" s="86">
        <v>160</v>
      </c>
      <c r="R43" s="86"/>
      <c r="S43" s="87">
        <f>D43</f>
        <v>0</v>
      </c>
      <c r="T43" s="81" t="e">
        <f t="shared" si="7"/>
        <v>#N/A</v>
      </c>
      <c r="U43" s="61" t="e">
        <f t="shared" si="2"/>
        <v>#N/A</v>
      </c>
      <c r="V43" s="12" t="e">
        <f t="shared" si="3"/>
        <v>#N/A</v>
      </c>
      <c r="W43" s="12" t="e">
        <f t="shared" si="4"/>
        <v>#N/A</v>
      </c>
      <c r="X43" s="32"/>
      <c r="Y43" s="33" t="e">
        <f>VLOOKUP(B43,要員対応表!$B$7:$D$106,3,FALSE)</f>
        <v>#N/A</v>
      </c>
    </row>
    <row r="44" spans="2:25" s="31" customFormat="1" ht="14.4">
      <c r="B44" s="29" t="s">
        <v>62</v>
      </c>
      <c r="C44" s="69">
        <f t="shared" si="5"/>
        <v>161.25</v>
      </c>
      <c r="D44" s="13">
        <f t="shared" si="0"/>
        <v>0</v>
      </c>
      <c r="E44" s="45" t="e">
        <f>VLOOKUP(B44,要員対応表!$B$7:$Y$51,9,FALSE)</f>
        <v>#N/A</v>
      </c>
      <c r="F44" s="14" t="e">
        <f>IF(D44&gt;0,ROUND(D44*VLOOKUP(B44,要員対応表!$B$7:$Y$51,11,FALSE),0),ROUND(D44*VLOOKUP(B44,要員対応表!$B$7:$Y$51,10,FALSE),0))</f>
        <v>#N/A</v>
      </c>
      <c r="G44" s="62" t="e">
        <f t="shared" si="12"/>
        <v>#N/A</v>
      </c>
      <c r="H44" s="58">
        <v>161.25</v>
      </c>
      <c r="I44" s="69">
        <f t="shared" si="1"/>
        <v>161.25</v>
      </c>
      <c r="J44" s="74"/>
      <c r="K44" s="75"/>
      <c r="L44" s="83">
        <v>160</v>
      </c>
      <c r="M44" s="84"/>
      <c r="N44" s="84">
        <f>D44</f>
        <v>0</v>
      </c>
      <c r="O44" s="85">
        <v>0</v>
      </c>
      <c r="P44" s="86">
        <v>0</v>
      </c>
      <c r="Q44" s="86">
        <v>0</v>
      </c>
      <c r="R44" s="86"/>
      <c r="S44" s="87">
        <v>0</v>
      </c>
      <c r="T44" s="81" t="e">
        <f t="shared" si="7"/>
        <v>#N/A</v>
      </c>
      <c r="U44" s="61" t="e">
        <f t="shared" si="2"/>
        <v>#N/A</v>
      </c>
      <c r="V44" s="12" t="e">
        <f t="shared" si="3"/>
        <v>#N/A</v>
      </c>
      <c r="W44" s="12" t="e">
        <f t="shared" si="4"/>
        <v>#N/A</v>
      </c>
      <c r="Y44" s="34" t="e">
        <f>VLOOKUP(B44,要員対応表!$B$7:$D$106,3,FALSE)</f>
        <v>#N/A</v>
      </c>
    </row>
    <row r="45" spans="2:25" s="31" customFormat="1" ht="14.4">
      <c r="B45" s="29" t="s">
        <v>1</v>
      </c>
      <c r="C45" s="69">
        <f t="shared" si="5"/>
        <v>174.25</v>
      </c>
      <c r="D45" s="10">
        <f t="shared" si="0"/>
        <v>0</v>
      </c>
      <c r="E45" s="44">
        <f>VLOOKUP(B45,要員対応表!$B$7:$Y$51,9,FALSE)</f>
        <v>1150000</v>
      </c>
      <c r="F45" s="11">
        <f>IF(D45&gt;0,ROUND(D45*VLOOKUP(B45,要員対応表!$B$7:$Y$51,11,FALSE),0),ROUND(D45*VLOOKUP(B45,要員対応表!$B$7:$Y$51,10,FALSE),0))</f>
        <v>0</v>
      </c>
      <c r="G45" s="61">
        <f t="shared" si="12"/>
        <v>1150000</v>
      </c>
      <c r="H45" s="58"/>
      <c r="I45" s="69">
        <f t="shared" si="1"/>
        <v>0</v>
      </c>
      <c r="J45" s="74"/>
      <c r="K45" s="75">
        <v>174.25</v>
      </c>
      <c r="L45" s="83">
        <v>0</v>
      </c>
      <c r="M45" s="84"/>
      <c r="N45" s="84">
        <v>0</v>
      </c>
      <c r="O45" s="85">
        <v>0</v>
      </c>
      <c r="P45" s="86">
        <v>0</v>
      </c>
      <c r="Q45" s="86">
        <v>160</v>
      </c>
      <c r="R45" s="86"/>
      <c r="S45" s="87">
        <f>D45</f>
        <v>0</v>
      </c>
      <c r="T45" s="81">
        <f t="shared" si="7"/>
        <v>0</v>
      </c>
      <c r="U45" s="61">
        <f t="shared" si="2"/>
        <v>0</v>
      </c>
      <c r="V45" s="12">
        <f t="shared" si="3"/>
        <v>0</v>
      </c>
      <c r="W45" s="12">
        <f t="shared" si="4"/>
        <v>1150000</v>
      </c>
      <c r="X45" s="32"/>
      <c r="Y45" s="33" t="str">
        <f>VLOOKUP(B45,要員対応表!$B$7:$D$106,3,FALSE)</f>
        <v>稲田　健志</v>
      </c>
    </row>
    <row r="46" spans="2:25" s="31" customFormat="1" ht="14.4">
      <c r="B46" s="29" t="s">
        <v>10</v>
      </c>
      <c r="C46" s="69">
        <f t="shared" si="5"/>
        <v>186.25</v>
      </c>
      <c r="D46" s="10">
        <f t="shared" si="0"/>
        <v>0</v>
      </c>
      <c r="E46" s="44">
        <f>VLOOKUP(B46,要員対応表!$B$7:$Y$51,9,FALSE)</f>
        <v>1150000</v>
      </c>
      <c r="F46" s="11">
        <f>IF(D46&gt;0,ROUND(D46*VLOOKUP(B46,要員対応表!$B$7:$Y$51,11,FALSE),0),ROUND(D46*VLOOKUP(B46,要員対応表!$B$7:$Y$51,10,FALSE),0))</f>
        <v>0</v>
      </c>
      <c r="G46" s="61">
        <f t="shared" si="12"/>
        <v>1150000</v>
      </c>
      <c r="H46" s="58"/>
      <c r="I46" s="69">
        <f t="shared" si="1"/>
        <v>0</v>
      </c>
      <c r="J46" s="74"/>
      <c r="K46" s="75">
        <v>186.25</v>
      </c>
      <c r="L46" s="83">
        <v>0</v>
      </c>
      <c r="M46" s="84"/>
      <c r="N46" s="84">
        <v>0</v>
      </c>
      <c r="O46" s="85">
        <v>0</v>
      </c>
      <c r="P46" s="86">
        <v>0</v>
      </c>
      <c r="Q46" s="86">
        <v>160</v>
      </c>
      <c r="R46" s="86"/>
      <c r="S46" s="87">
        <f>D46</f>
        <v>0</v>
      </c>
      <c r="T46" s="81">
        <f t="shared" si="7"/>
        <v>0</v>
      </c>
      <c r="U46" s="61">
        <f t="shared" si="2"/>
        <v>0</v>
      </c>
      <c r="V46" s="12">
        <f t="shared" si="3"/>
        <v>0</v>
      </c>
      <c r="W46" s="12">
        <f t="shared" si="4"/>
        <v>1150000</v>
      </c>
      <c r="X46" s="32"/>
      <c r="Y46" s="33" t="str">
        <f>VLOOKUP(B46,要員対応表!$B$7:$D$106,3,FALSE)</f>
        <v>佐藤　弘幸</v>
      </c>
    </row>
    <row r="47" spans="2:25" s="31" customFormat="1" ht="14.4">
      <c r="B47" s="29" t="s">
        <v>60</v>
      </c>
      <c r="C47" s="69">
        <f t="shared" si="5"/>
        <v>216.25</v>
      </c>
      <c r="D47" s="10">
        <f t="shared" si="0"/>
        <v>18.25</v>
      </c>
      <c r="E47" s="44">
        <f>VLOOKUP(B47,要員対応表!$B$7:$Y$51,9,FALSE)</f>
        <v>1150000</v>
      </c>
      <c r="F47" s="11">
        <f>IF(D47&gt;0,ROUND(D47*VLOOKUP(B47,要員対応表!$B$7:$Y$51,11,FALSE),0),ROUND(D47*VLOOKUP(B47,要員対応表!$B$7:$Y$51,10,FALSE),0))</f>
        <v>162425</v>
      </c>
      <c r="G47" s="61">
        <f t="shared" si="12"/>
        <v>1312425</v>
      </c>
      <c r="H47" s="58"/>
      <c r="I47" s="69">
        <f t="shared" si="1"/>
        <v>0</v>
      </c>
      <c r="J47" s="74"/>
      <c r="K47" s="75">
        <v>216.25</v>
      </c>
      <c r="L47" s="83">
        <v>0</v>
      </c>
      <c r="M47" s="84"/>
      <c r="N47" s="84">
        <v>0</v>
      </c>
      <c r="O47" s="85">
        <v>0</v>
      </c>
      <c r="P47" s="86">
        <v>0</v>
      </c>
      <c r="Q47" s="86">
        <v>160</v>
      </c>
      <c r="R47" s="86"/>
      <c r="S47" s="87">
        <f>D47</f>
        <v>18.25</v>
      </c>
      <c r="T47" s="81">
        <f t="shared" si="7"/>
        <v>0</v>
      </c>
      <c r="U47" s="61">
        <f t="shared" si="2"/>
        <v>0</v>
      </c>
      <c r="V47" s="12">
        <f t="shared" si="3"/>
        <v>0</v>
      </c>
      <c r="W47" s="12">
        <f t="shared" si="4"/>
        <v>1312425</v>
      </c>
      <c r="X47" s="32"/>
      <c r="Y47" s="33" t="str">
        <f>VLOOKUP(B47,要員対応表!$B$7:$D$106,3,FALSE)</f>
        <v>伊藤　繁</v>
      </c>
    </row>
    <row r="48" spans="2:25" s="31" customFormat="1" thickBot="1">
      <c r="B48" s="30" t="s">
        <v>3</v>
      </c>
      <c r="C48" s="70">
        <f t="shared" si="5"/>
        <v>146.5</v>
      </c>
      <c r="D48" s="19">
        <f t="shared" si="0"/>
        <v>0</v>
      </c>
      <c r="E48" s="46" t="e">
        <f>VLOOKUP(B48,要員対応表!$B$7:$Y$51,9,FALSE)</f>
        <v>#N/A</v>
      </c>
      <c r="F48" s="47" t="e">
        <f>IF(D48&gt;0,ROUND(D48*VLOOKUP(B48,要員対応表!$B$7:$Y$51,11,FALSE),0),ROUND(D48*VLOOKUP(B48,要員対応表!$B$7:$Y$51,10,FALSE),0))</f>
        <v>#N/A</v>
      </c>
      <c r="G48" s="63" t="e">
        <f>E48+F48</f>
        <v>#N/A</v>
      </c>
      <c r="H48" s="58">
        <v>49.75</v>
      </c>
      <c r="I48" s="69">
        <f>H48-J48</f>
        <v>0</v>
      </c>
      <c r="J48" s="74">
        <v>49.75</v>
      </c>
      <c r="K48" s="75">
        <v>96.75</v>
      </c>
      <c r="L48" s="95">
        <v>0</v>
      </c>
      <c r="M48" s="111"/>
      <c r="N48" s="84">
        <v>0</v>
      </c>
      <c r="O48" s="91">
        <f>J48</f>
        <v>49.75</v>
      </c>
      <c r="P48" s="86">
        <v>0</v>
      </c>
      <c r="Q48" s="94">
        <f>160-O48</f>
        <v>110.25</v>
      </c>
      <c r="R48" s="94"/>
      <c r="S48" s="87">
        <v>0</v>
      </c>
      <c r="T48" s="82" t="e">
        <f>G48-SUM(U48,V48,W48)</f>
        <v>#N/A</v>
      </c>
      <c r="U48" s="63" t="e">
        <f>IF(D48=0,L48*$E48/160,L48*$E48/160+$F48/$D48*N48)</f>
        <v>#N/A</v>
      </c>
      <c r="V48" s="20" t="e">
        <f>IF(F48=0,O48*$E48/160,O48*$E48/160+$F48/$D48*P48)</f>
        <v>#N/A</v>
      </c>
      <c r="W48" s="20" t="e">
        <f>IF(F48=0,Q48*$E48/160,Q48*$E48/160+$F48/$D48*S48)</f>
        <v>#N/A</v>
      </c>
      <c r="X48" s="32"/>
      <c r="Y48" s="33" t="e">
        <f>VLOOKUP(B48,要員対応表!$B$7:$D$106,3,FALSE)</f>
        <v>#N/A</v>
      </c>
    </row>
    <row r="49" spans="2:25" ht="19.8" thickTop="1" thickBot="1">
      <c r="B49" s="22" t="s">
        <v>30</v>
      </c>
      <c r="C49" s="102"/>
      <c r="D49" s="103"/>
      <c r="E49" s="103"/>
      <c r="F49" s="104" t="e">
        <f>SUM(F16:F48)</f>
        <v>#N/A</v>
      </c>
      <c r="G49" s="105" t="e">
        <f>SUM(G16:G48)</f>
        <v>#N/A</v>
      </c>
      <c r="H49" s="59"/>
      <c r="I49" s="59"/>
      <c r="J49" s="59"/>
      <c r="K49" s="59"/>
      <c r="L49" s="59"/>
      <c r="M49" s="59"/>
      <c r="N49" s="59"/>
      <c r="O49" s="59"/>
      <c r="P49" s="59"/>
      <c r="Q49" s="59"/>
      <c r="R49" s="59"/>
      <c r="S49" s="59"/>
      <c r="T49" s="59"/>
      <c r="U49" s="64" t="e">
        <f>SUM(U16:U48)</f>
        <v>#N/A</v>
      </c>
      <c r="V49" s="51" t="e">
        <f t="shared" ref="V49:W49" si="13">SUM(V16:V48)</f>
        <v>#N/A</v>
      </c>
      <c r="W49" s="52" t="e">
        <f t="shared" si="13"/>
        <v>#N/A</v>
      </c>
    </row>
    <row r="50" spans="2:25" ht="8.1" customHeight="1" thickTop="1">
      <c r="B50" s="5"/>
      <c r="C50" s="5"/>
      <c r="D50" s="5"/>
      <c r="E50" s="5"/>
      <c r="F50" s="5"/>
      <c r="G50" s="5"/>
      <c r="H50" s="5"/>
      <c r="I50" s="5"/>
      <c r="J50" s="5"/>
      <c r="K50" s="5"/>
      <c r="L50" s="5"/>
      <c r="M50" s="5"/>
      <c r="N50" s="5"/>
      <c r="O50" s="5"/>
      <c r="P50" s="5"/>
      <c r="Q50" s="5"/>
      <c r="R50" s="5"/>
      <c r="S50" s="5"/>
      <c r="T50" s="5"/>
      <c r="U50" s="5"/>
      <c r="V50" s="5"/>
      <c r="W50" s="5"/>
    </row>
    <row r="51" spans="2:25">
      <c r="B51" s="1" t="s">
        <v>67</v>
      </c>
    </row>
    <row r="52" spans="2:25" ht="23.4" thickBot="1">
      <c r="B52" s="17" t="s">
        <v>68</v>
      </c>
      <c r="C52" s="18"/>
      <c r="D52" s="18"/>
      <c r="E52" s="65" t="s">
        <v>81</v>
      </c>
      <c r="F52" s="65"/>
      <c r="G52" s="65"/>
      <c r="H52" s="65"/>
      <c r="I52" s="65"/>
      <c r="J52" s="65"/>
      <c r="K52" s="66"/>
      <c r="L52" s="65"/>
      <c r="M52" s="65"/>
      <c r="N52" s="65"/>
      <c r="O52" s="65"/>
      <c r="P52" s="65"/>
      <c r="Q52" s="65"/>
      <c r="R52" s="65"/>
      <c r="S52" s="65"/>
      <c r="T52" s="65"/>
      <c r="U52" s="60" t="s">
        <v>73</v>
      </c>
      <c r="V52" s="41" t="s">
        <v>76</v>
      </c>
      <c r="W52" s="40" t="s">
        <v>75</v>
      </c>
    </row>
    <row r="53" spans="2:25" s="31" customFormat="1" ht="15.6" thickTop="1">
      <c r="B53" s="36" t="s">
        <v>69</v>
      </c>
      <c r="C53" s="37"/>
      <c r="D53" s="37"/>
      <c r="E53" s="37"/>
      <c r="F53" s="37"/>
      <c r="G53" s="37"/>
      <c r="H53" s="37"/>
      <c r="I53" s="37"/>
      <c r="J53" s="37"/>
      <c r="K53" s="38"/>
      <c r="L53" s="37"/>
      <c r="M53" s="37"/>
      <c r="N53" s="37"/>
      <c r="O53" s="37"/>
      <c r="P53" s="37"/>
      <c r="Q53" s="37"/>
      <c r="R53" s="37"/>
      <c r="S53" s="37"/>
      <c r="T53" s="37"/>
      <c r="U53" s="56">
        <v>32500</v>
      </c>
      <c r="V53" s="67"/>
      <c r="W53" s="67"/>
      <c r="X53" s="1"/>
      <c r="Y53" s="1"/>
    </row>
    <row r="54" spans="2:25" s="31" customFormat="1">
      <c r="B54" s="36" t="s">
        <v>83</v>
      </c>
      <c r="C54" s="37"/>
      <c r="D54" s="37"/>
      <c r="E54" s="37"/>
      <c r="F54" s="37"/>
      <c r="G54" s="37"/>
      <c r="H54" s="37"/>
      <c r="I54" s="37"/>
      <c r="J54" s="37"/>
      <c r="K54" s="38"/>
      <c r="L54" s="37"/>
      <c r="M54" s="37"/>
      <c r="N54" s="37"/>
      <c r="O54" s="37"/>
      <c r="P54" s="37"/>
      <c r="Q54" s="37"/>
      <c r="R54" s="37"/>
      <c r="S54" s="37"/>
      <c r="T54" s="37"/>
      <c r="U54" s="28" t="e">
        <f>#REF!</f>
        <v>#REF!</v>
      </c>
      <c r="V54" s="68"/>
      <c r="W54" s="57" t="e">
        <f>#REF!</f>
        <v>#REF!</v>
      </c>
      <c r="X54" s="1"/>
      <c r="Y54" s="1"/>
    </row>
    <row r="55" spans="2:25" ht="8.1" customHeight="1"/>
  </sheetData>
  <autoFilter ref="H15:K49"/>
  <mergeCells count="13">
    <mergeCell ref="V4:V6"/>
    <mergeCell ref="C5:D5"/>
    <mergeCell ref="B7:B8"/>
    <mergeCell ref="U7:U8"/>
    <mergeCell ref="V7:V8"/>
    <mergeCell ref="C8:D8"/>
    <mergeCell ref="I14:K14"/>
    <mergeCell ref="L14:N14"/>
    <mergeCell ref="O14:P14"/>
    <mergeCell ref="Q14:S14"/>
    <mergeCell ref="B2:D2"/>
    <mergeCell ref="B4:B6"/>
    <mergeCell ref="C4:D4"/>
  </mergeCells>
  <phoneticPr fontId="3"/>
  <conditionalFormatting sqref="L16:S48">
    <cfRule type="containsBlanks" dxfId="16" priority="1">
      <formula>LEN(TRIM(L16))=0</formula>
    </cfRule>
  </conditionalFormatting>
  <pageMargins left="0.51181102362204722" right="0.51181102362204722" top="0.35433070866141736" bottom="0.35433070866141736" header="0.31496062992125984" footer="0.31496062992125984"/>
  <pageSetup paperSize="9" orientation="portrait" r:id="rId1"/>
  <drawing r:id="rId2"/>
  <legacy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B2:M32"/>
  <sheetViews>
    <sheetView view="pageBreakPreview" zoomScale="115" zoomScaleNormal="100" zoomScaleSheetLayoutView="115" workbookViewId="0"/>
  </sheetViews>
  <sheetFormatPr defaultColWidth="9" defaultRowHeight="15"/>
  <cols>
    <col min="1" max="1" width="2.6640625" style="8" customWidth="1"/>
    <col min="2" max="2" width="12.6640625" style="8" customWidth="1"/>
    <col min="3" max="3" width="10.6640625" style="8" customWidth="1"/>
    <col min="4" max="4" width="15" style="8" bestFit="1" customWidth="1"/>
    <col min="5" max="9" width="9" style="8" customWidth="1"/>
    <col min="10" max="10" width="15.109375" style="8" customWidth="1"/>
    <col min="11" max="11" width="11.109375" style="8" customWidth="1"/>
    <col min="12" max="12" width="10.33203125" style="8" customWidth="1"/>
    <col min="13" max="13" width="9" style="8"/>
    <col min="14" max="14" width="14.109375" style="8" bestFit="1" customWidth="1"/>
    <col min="15" max="16" width="9.88671875" style="8" bestFit="1" customWidth="1"/>
    <col min="17" max="16384" width="9" style="8"/>
  </cols>
  <sheetData>
    <row r="2" spans="2:13">
      <c r="B2" s="8" t="s">
        <v>15</v>
      </c>
      <c r="D2" s="6"/>
      <c r="E2" s="6"/>
      <c r="F2" s="6"/>
      <c r="G2" s="6"/>
      <c r="H2" s="6"/>
      <c r="I2" s="6"/>
      <c r="J2" s="6"/>
      <c r="K2" s="6"/>
      <c r="L2" s="6"/>
      <c r="M2" s="6"/>
    </row>
    <row r="3" spans="2:13" ht="15.6" thickBot="1">
      <c r="B3" s="334" t="s">
        <v>16</v>
      </c>
      <c r="C3" s="334"/>
      <c r="D3" s="334"/>
      <c r="E3" s="6"/>
      <c r="F3" s="6"/>
      <c r="G3" s="6"/>
      <c r="H3" s="6"/>
      <c r="I3" s="6"/>
      <c r="J3" s="8" t="s">
        <v>17</v>
      </c>
      <c r="K3" s="8" t="s">
        <v>27</v>
      </c>
      <c r="L3" s="8" t="s">
        <v>18</v>
      </c>
      <c r="M3" s="6"/>
    </row>
    <row r="4" spans="2:13">
      <c r="B4" s="186" t="s">
        <v>58</v>
      </c>
      <c r="C4" s="225">
        <v>9931521</v>
      </c>
      <c r="D4" s="226" t="s">
        <v>122</v>
      </c>
      <c r="E4" s="6"/>
      <c r="F4" s="6"/>
      <c r="G4"/>
      <c r="H4"/>
      <c r="I4"/>
      <c r="J4" s="7">
        <v>600000</v>
      </c>
      <c r="K4" s="7">
        <f t="shared" ref="K4" si="0">J4/160</f>
        <v>3750</v>
      </c>
      <c r="L4" s="7">
        <v>4600</v>
      </c>
      <c r="M4" s="6"/>
    </row>
    <row r="5" spans="2:13">
      <c r="B5" s="138" t="s">
        <v>169</v>
      </c>
      <c r="C5" s="223">
        <v>9931151</v>
      </c>
      <c r="D5" s="224" t="s">
        <v>119</v>
      </c>
      <c r="E5" s="6"/>
      <c r="F5" s="6"/>
      <c r="G5"/>
      <c r="H5"/>
      <c r="I5"/>
      <c r="J5" s="7">
        <v>900000</v>
      </c>
      <c r="K5" s="7">
        <v>5625</v>
      </c>
      <c r="L5" s="7">
        <v>7000</v>
      </c>
      <c r="M5" s="6"/>
    </row>
    <row r="6" spans="2:13">
      <c r="B6" s="138" t="s">
        <v>170</v>
      </c>
      <c r="C6" s="139">
        <v>9931160</v>
      </c>
      <c r="D6" s="140" t="s">
        <v>118</v>
      </c>
      <c r="E6" s="6"/>
      <c r="F6" s="6"/>
      <c r="G6"/>
      <c r="H6"/>
      <c r="I6"/>
      <c r="J6" s="7">
        <v>900000</v>
      </c>
      <c r="K6" s="7">
        <v>5625</v>
      </c>
      <c r="L6" s="7">
        <v>7000</v>
      </c>
      <c r="M6" s="6"/>
    </row>
    <row r="7" spans="2:13">
      <c r="B7" s="182" t="s">
        <v>112</v>
      </c>
      <c r="C7" s="187">
        <v>9921139</v>
      </c>
      <c r="D7" s="188" t="s">
        <v>42</v>
      </c>
      <c r="E7" s="6"/>
      <c r="F7" s="6"/>
      <c r="G7"/>
      <c r="H7"/>
      <c r="I7"/>
      <c r="J7" s="7">
        <v>900000</v>
      </c>
      <c r="K7" s="7">
        <v>5625</v>
      </c>
      <c r="L7" s="7">
        <v>7000</v>
      </c>
      <c r="M7" s="6"/>
    </row>
    <row r="8" spans="2:13">
      <c r="B8" s="182" t="s">
        <v>113</v>
      </c>
      <c r="C8" s="183">
        <v>9930432</v>
      </c>
      <c r="D8" s="184" t="s">
        <v>116</v>
      </c>
      <c r="E8" s="141"/>
      <c r="F8" s="142"/>
      <c r="G8"/>
      <c r="H8"/>
      <c r="I8"/>
      <c r="J8" s="185">
        <v>900000</v>
      </c>
      <c r="K8" s="185">
        <v>5625</v>
      </c>
      <c r="L8" s="185">
        <v>7000</v>
      </c>
      <c r="M8" s="6"/>
    </row>
    <row r="9" spans="2:13">
      <c r="B9" s="182" t="s">
        <v>179</v>
      </c>
      <c r="C9" s="183">
        <v>9930425</v>
      </c>
      <c r="D9" s="184" t="s">
        <v>115</v>
      </c>
      <c r="E9" s="6"/>
      <c r="F9" s="6"/>
      <c r="G9"/>
      <c r="H9"/>
      <c r="I9"/>
      <c r="J9" s="185">
        <v>900000</v>
      </c>
      <c r="K9" s="185">
        <v>5625</v>
      </c>
      <c r="L9" s="185">
        <v>7000</v>
      </c>
      <c r="M9" s="6"/>
    </row>
    <row r="10" spans="2:13">
      <c r="B10" s="182" t="s">
        <v>114</v>
      </c>
      <c r="C10" s="183">
        <v>9928276</v>
      </c>
      <c r="D10" s="184" t="s">
        <v>165</v>
      </c>
      <c r="F10" s="6"/>
      <c r="G10"/>
      <c r="H10"/>
      <c r="I10"/>
      <c r="J10" s="185">
        <v>900000</v>
      </c>
      <c r="K10" s="185">
        <v>5625</v>
      </c>
      <c r="L10" s="185">
        <v>7000</v>
      </c>
      <c r="M10" s="6"/>
    </row>
    <row r="11" spans="2:13">
      <c r="B11" s="182" t="s">
        <v>110</v>
      </c>
      <c r="C11" s="183">
        <v>9932023</v>
      </c>
      <c r="D11" s="184" t="s">
        <v>166</v>
      </c>
      <c r="F11" s="143"/>
      <c r="G11"/>
      <c r="H11"/>
      <c r="I11"/>
      <c r="J11" s="185">
        <v>900000</v>
      </c>
      <c r="K11" s="185">
        <v>5625</v>
      </c>
      <c r="L11" s="185">
        <v>7000</v>
      </c>
      <c r="M11" s="6"/>
    </row>
    <row r="12" spans="2:13">
      <c r="B12" s="182" t="s">
        <v>171</v>
      </c>
      <c r="C12" s="183">
        <v>9925470</v>
      </c>
      <c r="D12" s="184" t="s">
        <v>104</v>
      </c>
      <c r="F12" s="143"/>
      <c r="G12"/>
      <c r="H12"/>
      <c r="I12"/>
      <c r="J12" s="185">
        <v>950000</v>
      </c>
      <c r="K12" s="185">
        <v>5937.5</v>
      </c>
      <c r="L12" s="185">
        <v>7400</v>
      </c>
      <c r="M12" s="6"/>
    </row>
    <row r="13" spans="2:13">
      <c r="B13" s="182" t="s">
        <v>107</v>
      </c>
      <c r="C13" s="183">
        <v>9926453</v>
      </c>
      <c r="D13" s="184" t="s">
        <v>101</v>
      </c>
      <c r="F13" s="143"/>
      <c r="G13"/>
      <c r="H13"/>
      <c r="I13"/>
      <c r="J13" s="185">
        <v>950000</v>
      </c>
      <c r="K13" s="185">
        <v>5937.5</v>
      </c>
      <c r="L13" s="185">
        <v>7400</v>
      </c>
      <c r="M13" s="6"/>
    </row>
    <row r="14" spans="2:13">
      <c r="B14" s="182" t="s">
        <v>36</v>
      </c>
      <c r="C14" s="183">
        <v>9921334</v>
      </c>
      <c r="D14" s="184" t="s">
        <v>167</v>
      </c>
      <c r="F14" s="143"/>
      <c r="G14"/>
      <c r="H14"/>
      <c r="I14"/>
      <c r="J14" s="185">
        <v>950000</v>
      </c>
      <c r="K14" s="185">
        <v>5937.5</v>
      </c>
      <c r="L14" s="185">
        <v>7400</v>
      </c>
      <c r="M14" s="6"/>
    </row>
    <row r="15" spans="2:13">
      <c r="B15" s="182" t="s">
        <v>37</v>
      </c>
      <c r="C15" s="183">
        <v>9921347</v>
      </c>
      <c r="D15" s="184" t="s">
        <v>43</v>
      </c>
      <c r="F15" s="143"/>
      <c r="G15"/>
      <c r="H15"/>
      <c r="I15"/>
      <c r="J15" s="185">
        <v>950000</v>
      </c>
      <c r="K15" s="185">
        <v>5937.5</v>
      </c>
      <c r="L15" s="185">
        <v>7400</v>
      </c>
      <c r="M15" s="6"/>
    </row>
    <row r="16" spans="2:13">
      <c r="B16" s="182" t="s">
        <v>39</v>
      </c>
      <c r="C16" s="183">
        <v>9921412</v>
      </c>
      <c r="D16" s="184" t="s">
        <v>47</v>
      </c>
      <c r="F16" s="143"/>
      <c r="G16"/>
      <c r="H16"/>
      <c r="I16"/>
      <c r="J16" s="185">
        <v>1000000</v>
      </c>
      <c r="K16" s="185">
        <v>6250</v>
      </c>
      <c r="L16" s="185">
        <v>7800</v>
      </c>
      <c r="M16" s="6"/>
    </row>
    <row r="17" spans="2:13">
      <c r="B17" s="182" t="s">
        <v>40</v>
      </c>
      <c r="C17" s="183">
        <v>9921335</v>
      </c>
      <c r="D17" s="184" t="s">
        <v>44</v>
      </c>
      <c r="F17" s="141"/>
      <c r="G17"/>
      <c r="H17"/>
      <c r="I17"/>
      <c r="J17" s="185">
        <v>1000000</v>
      </c>
      <c r="K17" s="185">
        <v>6250</v>
      </c>
      <c r="L17" s="185">
        <v>7800</v>
      </c>
      <c r="M17" s="6"/>
    </row>
    <row r="18" spans="2:13">
      <c r="B18" s="182" t="s">
        <v>13</v>
      </c>
      <c r="C18" s="183">
        <v>9921413</v>
      </c>
      <c r="D18" s="184" t="s">
        <v>48</v>
      </c>
      <c r="F18" s="6"/>
      <c r="G18"/>
      <c r="H18"/>
      <c r="I18"/>
      <c r="J18" s="185">
        <v>1000000</v>
      </c>
      <c r="K18" s="185">
        <v>6250</v>
      </c>
      <c r="L18" s="185">
        <v>7800</v>
      </c>
      <c r="M18" s="6"/>
    </row>
    <row r="19" spans="2:13">
      <c r="B19" s="182" t="s">
        <v>41</v>
      </c>
      <c r="C19" s="183">
        <v>9931520</v>
      </c>
      <c r="D19" s="184" t="s">
        <v>121</v>
      </c>
      <c r="G19"/>
      <c r="H19"/>
      <c r="I19"/>
      <c r="J19" s="185">
        <v>1000000</v>
      </c>
      <c r="K19" s="185">
        <v>6250</v>
      </c>
      <c r="L19" s="185">
        <v>7800</v>
      </c>
      <c r="M19" s="6"/>
    </row>
    <row r="20" spans="2:13">
      <c r="B20" s="182" t="s">
        <v>111</v>
      </c>
      <c r="C20" s="183">
        <v>9922791</v>
      </c>
      <c r="D20" s="184" t="s">
        <v>49</v>
      </c>
      <c r="E20" s="6"/>
      <c r="F20" s="6"/>
      <c r="G20"/>
      <c r="H20"/>
      <c r="I20"/>
      <c r="J20" s="185">
        <v>1000000</v>
      </c>
      <c r="K20" s="185">
        <v>6250</v>
      </c>
      <c r="L20" s="185">
        <v>7800</v>
      </c>
      <c r="M20" s="6"/>
    </row>
    <row r="21" spans="2:13">
      <c r="B21" s="182" t="s">
        <v>33</v>
      </c>
      <c r="C21" s="183">
        <v>9922784</v>
      </c>
      <c r="D21" s="184" t="s">
        <v>46</v>
      </c>
      <c r="E21" s="6"/>
      <c r="F21" s="6"/>
      <c r="G21"/>
      <c r="H21"/>
      <c r="I21"/>
      <c r="J21" s="185">
        <v>1000000</v>
      </c>
      <c r="K21" s="185">
        <v>6250</v>
      </c>
      <c r="L21" s="185">
        <v>7800</v>
      </c>
      <c r="M21" s="6"/>
    </row>
    <row r="22" spans="2:13">
      <c r="B22" s="182" t="s">
        <v>34</v>
      </c>
      <c r="C22" s="183">
        <v>9923180</v>
      </c>
      <c r="D22" s="184" t="s">
        <v>105</v>
      </c>
      <c r="G22"/>
      <c r="H22"/>
      <c r="I22"/>
      <c r="J22" s="185">
        <v>1050000</v>
      </c>
      <c r="K22" s="185">
        <v>6562.5</v>
      </c>
      <c r="L22" s="185">
        <v>8200</v>
      </c>
      <c r="M22" s="6"/>
    </row>
    <row r="23" spans="2:13">
      <c r="B23" s="182" t="s">
        <v>32</v>
      </c>
      <c r="C23" s="183">
        <v>9921990</v>
      </c>
      <c r="D23" s="184" t="s">
        <v>50</v>
      </c>
      <c r="G23"/>
      <c r="H23"/>
      <c r="I23"/>
      <c r="J23" s="185">
        <v>1050000</v>
      </c>
      <c r="K23" s="185">
        <v>6562.5</v>
      </c>
      <c r="L23" s="185">
        <v>8200</v>
      </c>
      <c r="M23" s="6"/>
    </row>
    <row r="24" spans="2:13">
      <c r="B24" s="182" t="s">
        <v>173</v>
      </c>
      <c r="C24" s="183">
        <v>9921422</v>
      </c>
      <c r="D24" s="184" t="s">
        <v>106</v>
      </c>
      <c r="G24"/>
      <c r="H24"/>
      <c r="I24"/>
      <c r="J24" s="185">
        <v>1050000</v>
      </c>
      <c r="K24" s="185">
        <v>6562.5</v>
      </c>
      <c r="L24" s="185">
        <v>8200</v>
      </c>
      <c r="M24" s="6"/>
    </row>
    <row r="25" spans="2:13">
      <c r="B25" s="182" t="s">
        <v>174</v>
      </c>
      <c r="C25" s="183">
        <v>9921349</v>
      </c>
      <c r="D25" s="184" t="s">
        <v>45</v>
      </c>
      <c r="E25" s="142"/>
      <c r="F25" s="142"/>
      <c r="G25"/>
      <c r="H25"/>
      <c r="I25"/>
      <c r="J25" s="185">
        <v>1100000</v>
      </c>
      <c r="K25" s="185">
        <v>6875</v>
      </c>
      <c r="L25" s="185">
        <v>8500</v>
      </c>
      <c r="M25" s="6"/>
    </row>
    <row r="26" spans="2:13">
      <c r="B26" s="182" t="s">
        <v>1</v>
      </c>
      <c r="C26" s="183">
        <v>9920950</v>
      </c>
      <c r="D26" s="184" t="s">
        <v>55</v>
      </c>
      <c r="E26" s="142"/>
      <c r="F26" s="142"/>
      <c r="G26"/>
      <c r="H26"/>
      <c r="I26"/>
      <c r="J26" s="185">
        <v>1150000</v>
      </c>
      <c r="K26" s="185">
        <v>7187.5</v>
      </c>
      <c r="L26" s="185">
        <v>8900</v>
      </c>
      <c r="M26" s="6"/>
    </row>
    <row r="27" spans="2:13">
      <c r="B27" s="182" t="s">
        <v>175</v>
      </c>
      <c r="C27" s="183">
        <v>9921492</v>
      </c>
      <c r="D27" s="184" t="s">
        <v>54</v>
      </c>
      <c r="E27" s="6"/>
      <c r="F27" s="6"/>
      <c r="G27"/>
      <c r="H27"/>
      <c r="I27"/>
      <c r="J27" s="185">
        <v>1150000</v>
      </c>
      <c r="K27" s="185">
        <v>7187.5</v>
      </c>
      <c r="L27" s="185">
        <v>8900</v>
      </c>
      <c r="M27" s="6"/>
    </row>
    <row r="28" spans="2:13">
      <c r="B28" s="182" t="s">
        <v>102</v>
      </c>
      <c r="C28" s="183">
        <v>9921161</v>
      </c>
      <c r="D28" s="184" t="s">
        <v>53</v>
      </c>
      <c r="E28" s="142"/>
      <c r="F28" s="142"/>
      <c r="G28"/>
      <c r="H28"/>
      <c r="I28"/>
      <c r="J28" s="185">
        <v>1150000</v>
      </c>
      <c r="K28" s="185">
        <v>7187.5</v>
      </c>
      <c r="L28" s="185">
        <v>8900</v>
      </c>
      <c r="M28" s="6"/>
    </row>
    <row r="29" spans="2:13">
      <c r="B29" s="182" t="s">
        <v>108</v>
      </c>
      <c r="C29" s="183">
        <v>9931159</v>
      </c>
      <c r="D29" s="184" t="s">
        <v>117</v>
      </c>
      <c r="E29" s="142"/>
      <c r="F29" s="142"/>
      <c r="G29"/>
      <c r="H29"/>
      <c r="I29"/>
      <c r="J29" s="185">
        <v>1150000</v>
      </c>
      <c r="K29" s="185">
        <v>7187.5</v>
      </c>
      <c r="L29" s="185">
        <v>8900</v>
      </c>
      <c r="M29" s="6"/>
    </row>
    <row r="30" spans="2:13">
      <c r="B30" s="182" t="s">
        <v>176</v>
      </c>
      <c r="C30" s="183">
        <v>9920951</v>
      </c>
      <c r="D30" s="184" t="s">
        <v>51</v>
      </c>
      <c r="E30" s="6"/>
      <c r="F30" s="142"/>
      <c r="G30"/>
      <c r="H30"/>
      <c r="I30"/>
      <c r="J30" s="185">
        <v>1150000</v>
      </c>
      <c r="K30" s="185">
        <v>7187.5</v>
      </c>
      <c r="L30" s="185">
        <v>8900</v>
      </c>
      <c r="M30" s="6"/>
    </row>
    <row r="31" spans="2:13">
      <c r="B31" s="182" t="s">
        <v>178</v>
      </c>
      <c r="C31" s="183">
        <v>9922782</v>
      </c>
      <c r="D31" s="184" t="s">
        <v>52</v>
      </c>
      <c r="E31" s="6"/>
      <c r="F31" s="6"/>
      <c r="G31"/>
      <c r="H31"/>
      <c r="I31"/>
      <c r="J31" s="185">
        <v>1150000</v>
      </c>
      <c r="K31" s="185">
        <v>7187.5</v>
      </c>
      <c r="L31" s="185">
        <v>8900</v>
      </c>
      <c r="M31" s="6"/>
    </row>
    <row r="32" spans="2:13" ht="15.6" thickBot="1">
      <c r="B32" s="227" t="s">
        <v>187</v>
      </c>
      <c r="C32" s="228">
        <v>9921668</v>
      </c>
      <c r="D32" s="229" t="s">
        <v>56</v>
      </c>
      <c r="E32" s="142"/>
      <c r="F32" s="142"/>
      <c r="G32"/>
      <c r="H32"/>
      <c r="I32"/>
      <c r="J32" s="185">
        <v>1200000</v>
      </c>
      <c r="K32" s="185">
        <v>7500</v>
      </c>
      <c r="L32" s="185">
        <v>9300</v>
      </c>
      <c r="M32" s="6"/>
    </row>
  </sheetData>
  <autoFilter ref="B3:M32">
    <filterColumn colId="0" showButton="0"/>
    <filterColumn colId="1" hiddenButton="1" showButton="0"/>
  </autoFilter>
  <mergeCells count="1">
    <mergeCell ref="B3:D3"/>
  </mergeCells>
  <phoneticPr fontId="3"/>
  <conditionalFormatting sqref="B27:D27 B29:D31 B32 B7:D25">
    <cfRule type="expression" dxfId="15" priority="26">
      <formula>MOD(ROW(),2)=0</formula>
    </cfRule>
  </conditionalFormatting>
  <conditionalFormatting sqref="C32:D32">
    <cfRule type="expression" dxfId="14" priority="25">
      <formula>MOD(ROW(),2)=0</formula>
    </cfRule>
  </conditionalFormatting>
  <conditionalFormatting sqref="B8:D8">
    <cfRule type="expression" dxfId="13" priority="33">
      <formula>MOD(ROW(),2)=0</formula>
    </cfRule>
  </conditionalFormatting>
  <conditionalFormatting sqref="B17:D18">
    <cfRule type="expression" dxfId="12" priority="31">
      <formula>MOD(ROW(),2)=0</formula>
    </cfRule>
  </conditionalFormatting>
  <conditionalFormatting sqref="B28:D28">
    <cfRule type="expression" dxfId="11" priority="30">
      <formula>MOD(ROW(),2)=0</formula>
    </cfRule>
  </conditionalFormatting>
  <conditionalFormatting sqref="B30:D30">
    <cfRule type="expression" dxfId="10" priority="28">
      <formula>MOD(ROW(),2)=0</formula>
    </cfRule>
  </conditionalFormatting>
  <conditionalFormatting sqref="B26:D26">
    <cfRule type="expression" dxfId="9" priority="22">
      <formula>MOD(ROW(),2)=0</formula>
    </cfRule>
  </conditionalFormatting>
  <conditionalFormatting sqref="B26:D26">
    <cfRule type="expression" dxfId="8" priority="23">
      <formula>MOD(ROW(),2)=0</formula>
    </cfRule>
  </conditionalFormatting>
  <conditionalFormatting sqref="B4:D4">
    <cfRule type="expression" dxfId="7" priority="21">
      <formula>MOD(ROW(),2)=0</formula>
    </cfRule>
  </conditionalFormatting>
  <conditionalFormatting sqref="B5:B6">
    <cfRule type="expression" dxfId="6" priority="19">
      <formula>MOD(ROW(),2)=0</formula>
    </cfRule>
  </conditionalFormatting>
  <conditionalFormatting sqref="C5:D5">
    <cfRule type="expression" dxfId="5" priority="6">
      <formula>MOD(ROW(),2)=0</formula>
    </cfRule>
  </conditionalFormatting>
  <conditionalFormatting sqref="C6:D6">
    <cfRule type="expression" dxfId="4" priority="5">
      <formula>MOD(ROW(),2)=0</formula>
    </cfRule>
  </conditionalFormatting>
  <conditionalFormatting sqref="B12">
    <cfRule type="expression" dxfId="3" priority="4">
      <formula>MOD(ROW(),2)=0</formula>
    </cfRule>
  </conditionalFormatting>
  <conditionalFormatting sqref="B7">
    <cfRule type="expression" dxfId="2" priority="1">
      <formula>MOD(ROW(),2)=0</formula>
    </cfRule>
  </conditionalFormatting>
  <conditionalFormatting sqref="B28">
    <cfRule type="expression" dxfId="1" priority="2">
      <formula>MOD(ROW(),2)=0</formula>
    </cfRule>
  </conditionalFormatting>
  <conditionalFormatting sqref="B29:B32">
    <cfRule type="expression" dxfId="0" priority="3">
      <formula>MOD(ROW(),2)=0</formula>
    </cfRule>
  </conditionalFormatting>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A1:AP45"/>
  <sheetViews>
    <sheetView showGridLines="0" view="pageBreakPreview" zoomScale="70" zoomScaleNormal="80" zoomScaleSheetLayoutView="70" workbookViewId="0">
      <pane xSplit="3" ySplit="9" topLeftCell="D10" activePane="bottomRight" state="frozen"/>
      <selection pane="topRight"/>
      <selection pane="bottomLeft"/>
      <selection pane="bottomRight"/>
    </sheetView>
  </sheetViews>
  <sheetFormatPr defaultColWidth="9" defaultRowHeight="13.2"/>
  <cols>
    <col min="1" max="1" width="9.109375" style="197" bestFit="1" customWidth="1"/>
    <col min="2" max="2" width="9" style="197"/>
    <col min="3" max="3" width="15.109375" style="197" customWidth="1"/>
    <col min="4" max="4" width="12.33203125" style="197" customWidth="1"/>
    <col min="5" max="5" width="5.88671875" style="197" customWidth="1"/>
    <col min="6" max="6" width="3.88671875" style="197" bestFit="1" customWidth="1"/>
    <col min="7" max="7" width="5.88671875" style="197" customWidth="1"/>
    <col min="8" max="8" width="3" style="197" bestFit="1" customWidth="1"/>
    <col min="9" max="9" width="7.109375" style="197" customWidth="1"/>
    <col min="10" max="10" width="3" style="197" bestFit="1" customWidth="1"/>
    <col min="11" max="11" width="3" style="197" customWidth="1"/>
    <col min="12" max="12" width="7.109375" style="197" customWidth="1"/>
    <col min="13" max="13" width="11.88671875" style="197" customWidth="1"/>
    <col min="14" max="14" width="20.109375" style="197" customWidth="1"/>
    <col min="15" max="15" width="3" style="197" customWidth="1"/>
    <col min="16" max="16" width="10.88671875" style="197" customWidth="1"/>
    <col min="17" max="17" width="11.109375" style="197" customWidth="1"/>
    <col min="18" max="18" width="37.33203125" style="197" customWidth="1"/>
    <col min="19" max="19" width="14.44140625" style="197" customWidth="1"/>
    <col min="20" max="20" width="10.44140625" style="198" customWidth="1"/>
    <col min="21" max="21" width="9" style="197"/>
    <col min="22" max="22" width="4.109375" style="197" customWidth="1"/>
    <col min="23" max="28" width="11.6640625" style="197" customWidth="1"/>
    <col min="29" max="29" width="4.109375" style="197" customWidth="1"/>
    <col min="30" max="35" width="11.6640625" style="197" customWidth="1"/>
    <col min="36" max="36" width="4.44140625" style="197" customWidth="1"/>
    <col min="37" max="37" width="15.109375" style="197" customWidth="1"/>
    <col min="38" max="38" width="9" style="197"/>
    <col min="39" max="39" width="11.5546875" style="197" customWidth="1"/>
    <col min="40" max="42" width="9" style="197"/>
    <col min="43" max="43" width="3.5546875" style="197" customWidth="1"/>
    <col min="44" max="16384" width="9" style="197"/>
  </cols>
  <sheetData>
    <row r="1" spans="1:42" ht="16.2">
      <c r="A1" s="194" t="s">
        <v>123</v>
      </c>
      <c r="B1" s="195"/>
      <c r="C1" s="195"/>
      <c r="D1" s="195"/>
      <c r="E1" s="195"/>
      <c r="F1" s="195"/>
      <c r="G1" s="195" t="s">
        <v>124</v>
      </c>
      <c r="H1" s="195"/>
      <c r="I1" s="195"/>
      <c r="J1" s="195"/>
      <c r="K1" s="195"/>
      <c r="L1" s="196" t="s">
        <v>125</v>
      </c>
      <c r="O1" s="195"/>
    </row>
    <row r="2" spans="1:42" ht="12.75" customHeight="1">
      <c r="A2" s="195"/>
      <c r="B2" s="195"/>
      <c r="C2" s="195"/>
      <c r="D2" s="195"/>
      <c r="E2" s="195"/>
      <c r="F2" s="195"/>
      <c r="G2" s="195"/>
      <c r="H2" s="195"/>
      <c r="I2" s="195"/>
      <c r="J2" s="195"/>
      <c r="K2" s="195"/>
      <c r="L2" s="196"/>
      <c r="O2" s="195"/>
    </row>
    <row r="3" spans="1:42" ht="16.2">
      <c r="A3" s="195"/>
      <c r="B3" s="195"/>
      <c r="C3" s="195"/>
      <c r="D3" s="195"/>
      <c r="E3" s="195"/>
      <c r="F3" s="195"/>
      <c r="G3" s="195" t="s">
        <v>126</v>
      </c>
      <c r="H3" s="195"/>
      <c r="I3" s="195"/>
      <c r="J3" s="195"/>
      <c r="K3" s="195"/>
      <c r="L3" s="199" t="s">
        <v>180</v>
      </c>
      <c r="O3" s="195"/>
    </row>
    <row r="4" spans="1:42" ht="12.75" customHeight="1">
      <c r="A4" s="195"/>
      <c r="B4" s="195"/>
      <c r="C4" s="195"/>
      <c r="D4" s="195"/>
      <c r="E4" s="195"/>
      <c r="F4" s="195"/>
      <c r="G4" s="195"/>
      <c r="H4" s="195"/>
      <c r="I4" s="195"/>
      <c r="J4" s="195"/>
      <c r="K4" s="195"/>
      <c r="L4" s="199"/>
      <c r="O4" s="195"/>
    </row>
    <row r="5" spans="1:42" ht="27.75" customHeight="1">
      <c r="A5" s="195"/>
      <c r="B5" s="195"/>
      <c r="C5" s="195"/>
      <c r="D5" s="195"/>
      <c r="E5" s="195"/>
      <c r="F5" s="195"/>
      <c r="G5" s="195"/>
      <c r="H5" s="195"/>
      <c r="I5" s="195"/>
      <c r="J5" s="195"/>
      <c r="K5" s="195"/>
      <c r="L5" s="199"/>
      <c r="O5" s="195"/>
    </row>
    <row r="6" spans="1:42" ht="16.8" thickBot="1">
      <c r="A6" s="195"/>
      <c r="B6" s="195"/>
      <c r="C6" s="195"/>
      <c r="D6" s="195"/>
      <c r="E6" s="195"/>
      <c r="F6" s="195"/>
      <c r="G6" s="195"/>
      <c r="H6" s="195"/>
      <c r="I6" s="195"/>
      <c r="J6" s="195"/>
      <c r="K6" s="195"/>
      <c r="L6" s="199"/>
      <c r="O6" s="195"/>
      <c r="W6" s="197" t="s">
        <v>164</v>
      </c>
      <c r="AD6" s="196" t="s">
        <v>77</v>
      </c>
      <c r="AK6" s="196" t="s">
        <v>181</v>
      </c>
    </row>
    <row r="7" spans="1:42" ht="50.4" customHeight="1" thickBot="1">
      <c r="A7" s="195"/>
      <c r="B7" s="195"/>
      <c r="C7" s="195"/>
      <c r="D7" s="195"/>
      <c r="E7" s="195"/>
      <c r="F7" s="195"/>
      <c r="G7" s="195"/>
      <c r="H7" s="195"/>
      <c r="I7" s="195"/>
      <c r="J7" s="195"/>
      <c r="K7" s="195"/>
      <c r="L7" s="195"/>
      <c r="M7" s="195"/>
      <c r="N7" s="195"/>
      <c r="O7" s="195"/>
      <c r="P7" s="195"/>
      <c r="Q7" s="195"/>
      <c r="R7" s="196"/>
      <c r="W7" s="200" t="s">
        <v>127</v>
      </c>
      <c r="X7" s="201">
        <f>SUM(Q17)</f>
        <v>0</v>
      </c>
      <c r="Y7" s="202" t="s">
        <v>128</v>
      </c>
      <c r="Z7" s="203">
        <f>ROUND(X7/1.1,0)</f>
        <v>0</v>
      </c>
      <c r="AA7" s="202" t="s">
        <v>129</v>
      </c>
      <c r="AB7" s="204">
        <f>X7-Z7</f>
        <v>0</v>
      </c>
      <c r="AD7" s="205" t="s">
        <v>127</v>
      </c>
      <c r="AE7" s="201">
        <f>SUM(Q12,Q14)</f>
        <v>0</v>
      </c>
      <c r="AF7" s="206" t="s">
        <v>128</v>
      </c>
      <c r="AG7" s="203">
        <f>ROUND(AE7/1.1,0)</f>
        <v>0</v>
      </c>
      <c r="AH7" s="206" t="s">
        <v>129</v>
      </c>
      <c r="AI7" s="204">
        <f>AE7-AG7</f>
        <v>0</v>
      </c>
      <c r="AK7" s="239" t="s">
        <v>127</v>
      </c>
      <c r="AL7" s="201">
        <f>SUM(X12,X14)</f>
        <v>0</v>
      </c>
      <c r="AM7" s="240" t="s">
        <v>128</v>
      </c>
      <c r="AN7" s="203">
        <f>ROUND(AL7/1.1,0)</f>
        <v>0</v>
      </c>
      <c r="AO7" s="240" t="s">
        <v>129</v>
      </c>
      <c r="AP7" s="204">
        <f>AL7-AN7</f>
        <v>0</v>
      </c>
    </row>
    <row r="8" spans="1:42" ht="20.100000000000001" customHeight="1">
      <c r="A8" s="341" t="s">
        <v>130</v>
      </c>
      <c r="B8" s="341" t="s">
        <v>131</v>
      </c>
      <c r="C8" s="341" t="s">
        <v>132</v>
      </c>
      <c r="D8" s="341" t="s">
        <v>133</v>
      </c>
      <c r="E8" s="335" t="s">
        <v>134</v>
      </c>
      <c r="F8" s="336"/>
      <c r="G8" s="337"/>
      <c r="H8" s="335" t="s">
        <v>135</v>
      </c>
      <c r="I8" s="336"/>
      <c r="J8" s="336"/>
      <c r="K8" s="336"/>
      <c r="L8" s="337"/>
      <c r="M8" s="351" t="s">
        <v>136</v>
      </c>
      <c r="N8" s="351"/>
      <c r="O8" s="351"/>
      <c r="P8" s="351"/>
      <c r="Q8" s="341" t="s">
        <v>137</v>
      </c>
      <c r="R8" s="341" t="s">
        <v>138</v>
      </c>
      <c r="S8" s="352" t="s">
        <v>139</v>
      </c>
      <c r="T8" s="353"/>
      <c r="U8"/>
      <c r="W8" s="207" t="s">
        <v>140</v>
      </c>
      <c r="X8" s="196"/>
      <c r="Y8" s="196"/>
      <c r="Z8" s="196"/>
      <c r="AA8" s="196"/>
      <c r="AB8" s="196"/>
      <c r="AD8" s="207"/>
      <c r="AE8" s="196"/>
      <c r="AF8" s="196"/>
      <c r="AG8" s="196"/>
      <c r="AH8" s="196"/>
      <c r="AI8" s="196"/>
    </row>
    <row r="9" spans="1:42">
      <c r="A9" s="342"/>
      <c r="B9" s="342"/>
      <c r="C9" s="342"/>
      <c r="D9" s="342"/>
      <c r="E9" s="338"/>
      <c r="F9" s="339"/>
      <c r="G9" s="340"/>
      <c r="H9" s="338"/>
      <c r="I9" s="339"/>
      <c r="J9" s="339"/>
      <c r="K9" s="339"/>
      <c r="L9" s="340"/>
      <c r="M9" s="214" t="s">
        <v>141</v>
      </c>
      <c r="N9" s="214" t="s">
        <v>142</v>
      </c>
      <c r="O9" s="354" t="s">
        <v>143</v>
      </c>
      <c r="P9" s="355"/>
      <c r="Q9" s="342"/>
      <c r="R9" s="342"/>
      <c r="S9" s="215" t="s">
        <v>144</v>
      </c>
      <c r="T9" s="215" t="s">
        <v>145</v>
      </c>
      <c r="U9"/>
    </row>
    <row r="10" spans="1:42" ht="19.649999999999999" customHeight="1">
      <c r="A10" s="343" t="s">
        <v>146</v>
      </c>
      <c r="B10" s="343" t="s">
        <v>147</v>
      </c>
      <c r="C10" s="343" t="s">
        <v>148</v>
      </c>
      <c r="D10" s="345">
        <v>40936</v>
      </c>
      <c r="E10" s="347">
        <v>0.58333333333333337</v>
      </c>
      <c r="F10" s="356" t="s">
        <v>149</v>
      </c>
      <c r="G10" s="358">
        <v>0.70833333333333337</v>
      </c>
      <c r="H10" s="208" t="s">
        <v>150</v>
      </c>
      <c r="I10" s="209" t="s">
        <v>151</v>
      </c>
      <c r="J10" s="360" t="s">
        <v>152</v>
      </c>
      <c r="K10" s="209"/>
      <c r="L10" s="210" t="s">
        <v>153</v>
      </c>
      <c r="M10" s="343" t="s">
        <v>154</v>
      </c>
      <c r="N10" s="343" t="s">
        <v>155</v>
      </c>
      <c r="O10" s="208"/>
      <c r="P10" s="210" t="s">
        <v>156</v>
      </c>
      <c r="Q10" s="349">
        <v>1500</v>
      </c>
      <c r="R10" s="366" t="s">
        <v>157</v>
      </c>
      <c r="S10" s="362" t="s">
        <v>158</v>
      </c>
      <c r="T10" s="364">
        <v>40936</v>
      </c>
      <c r="U10"/>
      <c r="V10"/>
    </row>
    <row r="11" spans="1:42" ht="20.100000000000001" customHeight="1">
      <c r="A11" s="344"/>
      <c r="B11" s="344"/>
      <c r="C11" s="344"/>
      <c r="D11" s="346"/>
      <c r="E11" s="348"/>
      <c r="F11" s="357"/>
      <c r="G11" s="359"/>
      <c r="H11" s="211"/>
      <c r="I11" s="212" t="s">
        <v>159</v>
      </c>
      <c r="J11" s="361"/>
      <c r="K11" s="212" t="s">
        <v>150</v>
      </c>
      <c r="L11" s="213" t="s">
        <v>160</v>
      </c>
      <c r="M11" s="344"/>
      <c r="N11" s="344"/>
      <c r="O11" s="211" t="s">
        <v>150</v>
      </c>
      <c r="P11" s="213" t="s">
        <v>161</v>
      </c>
      <c r="Q11" s="350"/>
      <c r="R11" s="367"/>
      <c r="S11" s="363"/>
      <c r="T11" s="365"/>
      <c r="U11"/>
      <c r="V11"/>
    </row>
    <row r="12" spans="1:42" customFormat="1" ht="90.6" customHeight="1">
      <c r="A12" s="343"/>
      <c r="B12" s="343"/>
      <c r="C12" s="343"/>
      <c r="D12" s="345"/>
      <c r="E12" s="347"/>
      <c r="F12" s="356"/>
      <c r="G12" s="358"/>
      <c r="H12" s="208"/>
      <c r="I12" s="209"/>
      <c r="J12" s="360"/>
      <c r="K12" s="209"/>
      <c r="L12" s="210"/>
      <c r="M12" s="368"/>
      <c r="N12" s="368"/>
      <c r="O12" s="208"/>
      <c r="P12" s="210"/>
      <c r="Q12" s="349"/>
      <c r="R12" s="370"/>
      <c r="S12" s="362"/>
      <c r="T12" s="364"/>
    </row>
    <row r="13" spans="1:42" customFormat="1" ht="90.6" customHeight="1">
      <c r="A13" s="344"/>
      <c r="B13" s="344"/>
      <c r="C13" s="344"/>
      <c r="D13" s="346"/>
      <c r="E13" s="348"/>
      <c r="F13" s="357"/>
      <c r="G13" s="359"/>
      <c r="H13" s="211"/>
      <c r="I13" s="212"/>
      <c r="J13" s="361"/>
      <c r="K13" s="212"/>
      <c r="L13" s="213"/>
      <c r="M13" s="344"/>
      <c r="N13" s="369"/>
      <c r="O13" s="211"/>
      <c r="P13" s="213"/>
      <c r="Q13" s="350"/>
      <c r="R13" s="367"/>
      <c r="S13" s="363"/>
      <c r="T13" s="365"/>
    </row>
    <row r="14" spans="1:42" customFormat="1" ht="41.4" customHeight="1">
      <c r="A14" s="343"/>
      <c r="B14" s="343"/>
      <c r="C14" s="343"/>
      <c r="D14" s="345"/>
      <c r="E14" s="347"/>
      <c r="F14" s="356"/>
      <c r="G14" s="358"/>
      <c r="H14" s="208"/>
      <c r="I14" s="209"/>
      <c r="J14" s="360"/>
      <c r="K14" s="209"/>
      <c r="L14" s="210"/>
      <c r="M14" s="343"/>
      <c r="N14" s="368"/>
      <c r="O14" s="208"/>
      <c r="P14" s="210"/>
      <c r="Q14" s="349"/>
      <c r="R14" s="370"/>
      <c r="S14" s="362"/>
      <c r="T14" s="364"/>
    </row>
    <row r="15" spans="1:42" customFormat="1" ht="41.4" customHeight="1">
      <c r="A15" s="344"/>
      <c r="B15" s="344"/>
      <c r="C15" s="344"/>
      <c r="D15" s="346"/>
      <c r="E15" s="348"/>
      <c r="F15" s="357"/>
      <c r="G15" s="359"/>
      <c r="H15" s="211"/>
      <c r="I15" s="212"/>
      <c r="J15" s="361"/>
      <c r="K15" s="212"/>
      <c r="L15" s="213"/>
      <c r="M15" s="344"/>
      <c r="N15" s="369"/>
      <c r="O15" s="211"/>
      <c r="P15" s="213"/>
      <c r="Q15" s="350"/>
      <c r="R15" s="367"/>
      <c r="S15" s="363"/>
      <c r="T15" s="365"/>
    </row>
    <row r="16" spans="1:42" ht="21.6" customHeight="1">
      <c r="A16" s="343"/>
      <c r="B16" s="343"/>
      <c r="C16" s="343"/>
      <c r="D16" s="345"/>
      <c r="E16" s="347"/>
      <c r="F16" s="356"/>
      <c r="G16" s="358"/>
      <c r="H16" s="208"/>
      <c r="I16" s="209"/>
      <c r="J16" s="360"/>
      <c r="K16" s="209"/>
      <c r="L16" s="210"/>
      <c r="M16" s="343"/>
      <c r="N16" s="368"/>
      <c r="O16" s="208"/>
      <c r="P16" s="210"/>
      <c r="Q16" s="216"/>
      <c r="R16" s="366"/>
      <c r="S16" s="362"/>
      <c r="T16" s="364"/>
      <c r="U16"/>
      <c r="W16" s="207"/>
      <c r="X16" s="196"/>
      <c r="Y16" s="196"/>
      <c r="Z16" s="196"/>
      <c r="AA16" s="196"/>
      <c r="AB16" s="196"/>
      <c r="AD16" s="207"/>
      <c r="AE16" s="196"/>
      <c r="AF16" s="196"/>
      <c r="AG16" s="196"/>
      <c r="AH16" s="196"/>
      <c r="AI16" s="196"/>
    </row>
    <row r="17" spans="1:35" ht="21.6" customHeight="1">
      <c r="A17" s="344"/>
      <c r="B17" s="344"/>
      <c r="C17" s="344"/>
      <c r="D17" s="346"/>
      <c r="E17" s="348"/>
      <c r="F17" s="357"/>
      <c r="G17" s="359"/>
      <c r="H17" s="211"/>
      <c r="I17" s="212"/>
      <c r="J17" s="361"/>
      <c r="K17" s="212"/>
      <c r="L17" s="213"/>
      <c r="M17" s="344"/>
      <c r="N17" s="369"/>
      <c r="O17" s="211"/>
      <c r="P17" s="213"/>
      <c r="Q17" s="217"/>
      <c r="R17" s="367"/>
      <c r="S17" s="363"/>
      <c r="T17" s="365"/>
      <c r="U17"/>
    </row>
    <row r="18" spans="1:35" customFormat="1" ht="21.6" customHeight="1">
      <c r="A18" s="197"/>
      <c r="B18" s="197"/>
      <c r="C18" s="197"/>
      <c r="D18" s="197"/>
      <c r="E18" s="197"/>
      <c r="F18" s="197"/>
      <c r="G18" s="197"/>
      <c r="H18" s="197"/>
      <c r="I18" s="197"/>
      <c r="J18" s="197"/>
      <c r="K18" s="197"/>
      <c r="L18" s="197"/>
      <c r="M18" s="197"/>
      <c r="N18" s="197"/>
      <c r="O18" s="197"/>
      <c r="P18" s="197"/>
      <c r="Q18" s="197"/>
      <c r="R18" s="197"/>
      <c r="S18" s="197"/>
      <c r="T18" s="198"/>
      <c r="U18" s="197"/>
    </row>
    <row r="19" spans="1:35" customFormat="1" ht="21.6" customHeight="1">
      <c r="A19" s="197"/>
      <c r="B19" s="197"/>
      <c r="C19" s="197"/>
      <c r="D19" s="197"/>
      <c r="E19" s="197"/>
      <c r="F19" s="197"/>
      <c r="G19" s="197"/>
      <c r="H19" s="197"/>
      <c r="I19" s="197"/>
      <c r="J19" s="197"/>
      <c r="K19" s="197"/>
      <c r="L19" s="197"/>
      <c r="M19" s="197"/>
      <c r="N19" s="197"/>
      <c r="O19" s="197"/>
      <c r="P19" s="197"/>
      <c r="Q19" s="197"/>
      <c r="R19" s="197"/>
      <c r="S19" s="197"/>
      <c r="T19" s="198"/>
      <c r="U19" s="197"/>
    </row>
    <row r="20" spans="1:35" customFormat="1" ht="21.6" customHeight="1">
      <c r="A20" s="197"/>
      <c r="B20" s="197"/>
      <c r="C20" s="197"/>
      <c r="D20" s="197"/>
      <c r="E20" s="197"/>
      <c r="F20" s="197"/>
      <c r="G20" s="197"/>
      <c r="H20" s="197"/>
      <c r="I20" s="197"/>
      <c r="J20" s="197"/>
      <c r="K20" s="197"/>
      <c r="L20" s="197"/>
      <c r="M20" s="197"/>
      <c r="N20" s="197"/>
      <c r="O20" s="197"/>
      <c r="P20" s="197"/>
      <c r="Q20" s="197"/>
      <c r="R20" s="197"/>
      <c r="S20" s="197"/>
      <c r="T20" s="198"/>
      <c r="U20" s="197"/>
    </row>
    <row r="21" spans="1:35" customFormat="1" ht="21.6" customHeight="1">
      <c r="A21" s="197"/>
      <c r="B21" s="197"/>
      <c r="C21" s="197"/>
      <c r="D21" s="197"/>
      <c r="E21" s="197"/>
      <c r="F21" s="197"/>
      <c r="G21" s="197"/>
      <c r="H21" s="197"/>
      <c r="I21" s="197"/>
      <c r="J21" s="197"/>
      <c r="K21" s="197"/>
      <c r="L21" s="197"/>
      <c r="M21" s="197"/>
      <c r="N21" s="197"/>
      <c r="O21" s="197"/>
      <c r="P21" s="197"/>
      <c r="Q21" s="197"/>
      <c r="R21" s="197"/>
      <c r="S21" s="197"/>
      <c r="T21" s="198"/>
      <c r="U21" s="197"/>
    </row>
    <row r="22" spans="1:35" customFormat="1" ht="21.6" customHeight="1">
      <c r="A22" s="197"/>
      <c r="B22" s="197"/>
      <c r="C22" s="197"/>
      <c r="D22" s="197"/>
      <c r="E22" s="197"/>
      <c r="F22" s="197"/>
      <c r="G22" s="197"/>
      <c r="H22" s="197"/>
      <c r="I22" s="197"/>
      <c r="J22" s="197"/>
      <c r="K22" s="197"/>
      <c r="L22" s="197"/>
      <c r="M22" s="197"/>
      <c r="N22" s="197"/>
      <c r="O22" s="197"/>
      <c r="P22" s="197"/>
      <c r="Q22" s="197"/>
      <c r="R22" s="197"/>
      <c r="S22" s="197"/>
      <c r="T22" s="198"/>
      <c r="U22" s="197"/>
    </row>
    <row r="23" spans="1:35" customFormat="1" ht="21.6" customHeight="1">
      <c r="A23" s="197"/>
      <c r="B23" s="197"/>
      <c r="C23" s="197"/>
      <c r="D23" s="197"/>
      <c r="E23" s="197"/>
      <c r="F23" s="197"/>
      <c r="G23" s="197"/>
      <c r="H23" s="197"/>
      <c r="I23" s="197"/>
      <c r="J23" s="197"/>
      <c r="K23" s="197"/>
      <c r="L23" s="197"/>
      <c r="M23" s="197"/>
      <c r="N23" s="197"/>
      <c r="O23" s="197"/>
      <c r="P23" s="197"/>
      <c r="Q23" s="197"/>
      <c r="R23" s="197"/>
      <c r="S23" s="197"/>
      <c r="T23" s="198"/>
      <c r="U23" s="197"/>
    </row>
    <row r="24" spans="1:35" ht="19.95" customHeight="1">
      <c r="W24" s="207"/>
      <c r="X24" s="196"/>
      <c r="Y24" s="196"/>
      <c r="Z24" s="196"/>
      <c r="AA24" s="196"/>
      <c r="AB24" s="196"/>
      <c r="AD24" s="207"/>
      <c r="AE24" s="196"/>
      <c r="AF24" s="196"/>
      <c r="AG24" s="196"/>
      <c r="AH24" s="196"/>
      <c r="AI24" s="196"/>
    </row>
    <row r="25" spans="1:35" ht="13.2" customHeight="1"/>
    <row r="26" spans="1:35" customFormat="1" ht="40.950000000000003" customHeight="1">
      <c r="A26" s="197"/>
      <c r="B26" s="197"/>
      <c r="C26" s="197"/>
      <c r="D26" s="197"/>
      <c r="E26" s="197"/>
      <c r="F26" s="197"/>
      <c r="G26" s="197"/>
      <c r="H26" s="197"/>
      <c r="I26" s="197"/>
      <c r="J26" s="197"/>
      <c r="K26" s="197"/>
      <c r="L26" s="197"/>
      <c r="M26" s="197"/>
      <c r="N26" s="197"/>
      <c r="O26" s="197"/>
      <c r="P26" s="197"/>
      <c r="Q26" s="197"/>
      <c r="R26" s="197"/>
      <c r="S26" s="197"/>
      <c r="T26" s="198"/>
      <c r="U26" s="197"/>
    </row>
    <row r="27" spans="1:35" customFormat="1" ht="40.950000000000003" customHeight="1">
      <c r="A27" s="197"/>
      <c r="B27" s="197"/>
      <c r="C27" s="197"/>
      <c r="D27" s="197"/>
      <c r="E27" s="197"/>
      <c r="F27" s="197"/>
      <c r="G27" s="197"/>
      <c r="H27" s="197"/>
      <c r="I27" s="197"/>
      <c r="J27" s="197"/>
      <c r="K27" s="197"/>
      <c r="L27" s="197"/>
      <c r="M27" s="197"/>
      <c r="N27" s="197"/>
      <c r="O27" s="197"/>
      <c r="P27" s="197"/>
      <c r="Q27" s="197"/>
      <c r="R27" s="197"/>
      <c r="S27" s="197"/>
      <c r="T27" s="198"/>
      <c r="U27" s="197"/>
    </row>
    <row r="28" spans="1:35" customFormat="1" ht="21.6" customHeight="1">
      <c r="A28" s="197"/>
      <c r="B28" s="197"/>
      <c r="C28" s="197"/>
      <c r="D28" s="197"/>
      <c r="E28" s="197"/>
      <c r="F28" s="197"/>
      <c r="G28" s="197"/>
      <c r="H28" s="197"/>
      <c r="I28" s="197"/>
      <c r="J28" s="197"/>
      <c r="K28" s="197"/>
      <c r="L28" s="197"/>
      <c r="M28" s="197"/>
      <c r="N28" s="197"/>
      <c r="O28" s="197"/>
      <c r="P28" s="197"/>
      <c r="Q28" s="197"/>
      <c r="R28" s="197"/>
      <c r="S28" s="197"/>
      <c r="T28" s="198"/>
      <c r="U28" s="197"/>
    </row>
    <row r="29" spans="1:35" customFormat="1" ht="21.6" customHeight="1">
      <c r="A29" s="197"/>
      <c r="B29" s="197"/>
      <c r="C29" s="197"/>
      <c r="D29" s="197"/>
      <c r="E29" s="197"/>
      <c r="F29" s="197"/>
      <c r="G29" s="197"/>
      <c r="H29" s="197"/>
      <c r="I29" s="197"/>
      <c r="J29" s="197"/>
      <c r="K29" s="197"/>
      <c r="L29" s="197"/>
      <c r="M29" s="197"/>
      <c r="N29" s="197"/>
      <c r="O29" s="197"/>
      <c r="P29" s="197"/>
      <c r="Q29" s="197"/>
      <c r="R29" s="197"/>
      <c r="S29" s="197"/>
      <c r="T29" s="198"/>
      <c r="U29" s="197"/>
    </row>
    <row r="30" spans="1:35" ht="21.6" customHeight="1"/>
    <row r="31" spans="1:35" ht="21.6" customHeight="1"/>
    <row r="32" spans="1:35" ht="21.6" customHeight="1"/>
    <row r="33" ht="21.6" customHeight="1"/>
    <row r="34" ht="21.6" customHeight="1"/>
    <row r="35" ht="21.6" customHeight="1"/>
    <row r="36" ht="21.6" customHeight="1"/>
    <row r="37" ht="21.6" customHeight="1"/>
    <row r="38" ht="21.6" customHeight="1"/>
    <row r="39" ht="21.6" customHeight="1"/>
    <row r="40" ht="21.6" customHeight="1"/>
    <row r="41" ht="21.6" customHeight="1"/>
    <row r="42" ht="21.6" customHeight="1"/>
    <row r="43" ht="21.6" customHeight="1"/>
    <row r="44" ht="21.6" customHeight="1"/>
    <row r="45" ht="21.6" customHeight="1"/>
  </sheetData>
  <autoFilter ref="C8:C13"/>
  <mergeCells count="66">
    <mergeCell ref="T16:T17"/>
    <mergeCell ref="J16:J17"/>
    <mergeCell ref="M16:M17"/>
    <mergeCell ref="N16:N17"/>
    <mergeCell ref="R16:R17"/>
    <mergeCell ref="S16:S17"/>
    <mergeCell ref="S14:S15"/>
    <mergeCell ref="T14:T15"/>
    <mergeCell ref="Q12:Q13"/>
    <mergeCell ref="A16:A17"/>
    <mergeCell ref="B16:B17"/>
    <mergeCell ref="C16:C17"/>
    <mergeCell ref="D16:D17"/>
    <mergeCell ref="E16:E17"/>
    <mergeCell ref="F16:F17"/>
    <mergeCell ref="G16:G17"/>
    <mergeCell ref="G14:G15"/>
    <mergeCell ref="J14:J15"/>
    <mergeCell ref="M14:M15"/>
    <mergeCell ref="N14:N15"/>
    <mergeCell ref="Q14:Q15"/>
    <mergeCell ref="R14:R15"/>
    <mergeCell ref="A14:A15"/>
    <mergeCell ref="B14:B15"/>
    <mergeCell ref="C14:C15"/>
    <mergeCell ref="D14:D15"/>
    <mergeCell ref="E14:E15"/>
    <mergeCell ref="F14:F15"/>
    <mergeCell ref="J12:J13"/>
    <mergeCell ref="M12:M13"/>
    <mergeCell ref="N12:N13"/>
    <mergeCell ref="R12:R13"/>
    <mergeCell ref="F12:F13"/>
    <mergeCell ref="G12:G13"/>
    <mergeCell ref="S12:S13"/>
    <mergeCell ref="T12:T13"/>
    <mergeCell ref="R10:R11"/>
    <mergeCell ref="S10:S11"/>
    <mergeCell ref="T10:T11"/>
    <mergeCell ref="A12:A13"/>
    <mergeCell ref="B12:B13"/>
    <mergeCell ref="C12:C13"/>
    <mergeCell ref="D12:D13"/>
    <mergeCell ref="E12:E13"/>
    <mergeCell ref="F10:F11"/>
    <mergeCell ref="G10:G11"/>
    <mergeCell ref="J10:J11"/>
    <mergeCell ref="M10:M11"/>
    <mergeCell ref="N10:N11"/>
    <mergeCell ref="Q10:Q11"/>
    <mergeCell ref="M8:P8"/>
    <mergeCell ref="Q8:Q9"/>
    <mergeCell ref="R8:R9"/>
    <mergeCell ref="S8:T8"/>
    <mergeCell ref="O9:P9"/>
    <mergeCell ref="A10:A11"/>
    <mergeCell ref="B10:B11"/>
    <mergeCell ref="C10:C11"/>
    <mergeCell ref="D10:D11"/>
    <mergeCell ref="E10:E11"/>
    <mergeCell ref="H8:L9"/>
    <mergeCell ref="A8:A9"/>
    <mergeCell ref="B8:B9"/>
    <mergeCell ref="C8:C9"/>
    <mergeCell ref="D8:D9"/>
    <mergeCell ref="E8:G9"/>
  </mergeCells>
  <phoneticPr fontId="3"/>
  <dataValidations disablePrompts="1" count="1">
    <dataValidation type="list" allowBlank="1" showInputMessage="1" showErrorMessage="1" sqref="H10:H17 K10:K17 O10:O17">
      <formula1>"ﾚ"</formula1>
    </dataValidation>
  </dataValidations>
  <pageMargins left="0.7" right="0.7" top="0.75" bottom="0.75" header="0.3" footer="0.3"/>
  <pageSetup paperSize="9" scale="31" fitToHeight="0" orientation="landscape" r:id="rId1"/>
  <headerFooter alignWithMargins="0"/>
  <drawing r:id="rId2"/>
  <legacy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4</vt:i4>
      </vt:variant>
      <vt:variant>
        <vt:lpstr>名前付き一覧</vt:lpstr>
      </vt:variant>
      <vt:variant>
        <vt:i4>4</vt:i4>
      </vt:variant>
    </vt:vector>
  </HeadingPairs>
  <TitlesOfParts>
    <vt:vector size="8" baseType="lpstr">
      <vt:lpstr>作業時間一覧</vt:lpstr>
      <vt:lpstr>作業時間一覧 (まともに計算)</vt:lpstr>
      <vt:lpstr>要員対応表</vt:lpstr>
      <vt:lpstr>24年4月</vt:lpstr>
      <vt:lpstr>'24年4月'!Print_Area</vt:lpstr>
      <vt:lpstr>作業時間一覧!Print_Area</vt:lpstr>
      <vt:lpstr>'作業時間一覧 (まともに計算)'!Print_Area</vt:lpstr>
      <vt:lpstr>要員対応表!Print_Area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Adecco kawamura</dc:creator>
  <cp:lastModifiedBy>富樫 真衣子</cp:lastModifiedBy>
  <cp:lastPrinted>2023-10-27T02:43:57Z</cp:lastPrinted>
  <dcterms:created xsi:type="dcterms:W3CDTF">2017-07-03T02:59:44Z</dcterms:created>
  <dcterms:modified xsi:type="dcterms:W3CDTF">2024-05-08T00:31:01Z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SV_QUERY_LIST_4F35BF76-6C0D-4D9B-82B2-816C12CF3733">
    <vt:lpwstr>empty_477D106A-C0D6-4607-AEBD-E2C9D60EA279</vt:lpwstr>
  </property>
  <property fmtid="{D5CDD505-2E9C-101B-9397-08002B2CF9AE}" pid="3" name="SV_HIDDEN_GRID_QUERY_LIST_4F35BF76-6C0D-4D9B-82B2-816C12CF3733">
    <vt:lpwstr>empty_477D106A-C0D6-4607-AEBD-E2C9D60EA279</vt:lpwstr>
  </property>
</Properties>
</file>